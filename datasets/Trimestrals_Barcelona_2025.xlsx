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10008_Difusió dades\07_WEB\WEB estadístiques\Compravendes\2025\"/>
    </mc:Choice>
  </mc:AlternateContent>
  <xr:revisionPtr revIDLastSave="0" documentId="13_ncr:1_{5E09A6A4-3A53-4266-BCAE-4FE93193F2F4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2025" sheetId="11" r:id="rId1"/>
    <sheet name="4t25" sheetId="5" r:id="rId2"/>
    <sheet name="3t25_acum" sheetId="10" r:id="rId3"/>
    <sheet name="3t25" sheetId="4" r:id="rId4"/>
    <sheet name="3t25acum_1any" sheetId="8" r:id="rId5"/>
    <sheet name="2t25_acum" sheetId="9" r:id="rId6"/>
    <sheet name="2t25" sheetId="3" r:id="rId7"/>
    <sheet name="2t25acum_1any" sheetId="7" r:id="rId8"/>
    <sheet name="1t25" sheetId="2" r:id="rId9"/>
    <sheet name="1t25acum_1any" sheetId="6" r:id="rId10"/>
  </sheets>
  <definedNames>
    <definedName name="_xlnm._FilterDatabase" localSheetId="8" hidden="1">'1t25'!$A$20:$S$93</definedName>
    <definedName name="_xlnm._FilterDatabase" localSheetId="6" hidden="1">'2t25'!$A$20:$S$93</definedName>
    <definedName name="_xlnm._FilterDatabase" localSheetId="3" hidden="1">'3t25'!$A$20:$T$93</definedName>
    <definedName name="_xlnm._FilterDatabase" localSheetId="1" hidden="1">'4t25'!$A$20:$T$93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9" l="1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18" i="9"/>
  <c r="F17" i="9"/>
  <c r="F16" i="9"/>
  <c r="F15" i="9"/>
  <c r="F14" i="9"/>
  <c r="F13" i="9"/>
  <c r="F12" i="9"/>
  <c r="F11" i="9"/>
  <c r="F10" i="9"/>
  <c r="F9" i="9"/>
  <c r="F6" i="9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18" i="7"/>
  <c r="F17" i="7"/>
  <c r="F16" i="7"/>
  <c r="F15" i="7"/>
  <c r="F14" i="7"/>
  <c r="F13" i="7"/>
  <c r="F12" i="7"/>
  <c r="F11" i="7"/>
  <c r="F10" i="7"/>
  <c r="F9" i="7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18" i="6"/>
  <c r="F17" i="6"/>
  <c r="F16" i="6"/>
  <c r="F15" i="6"/>
  <c r="F14" i="6"/>
  <c r="F13" i="6"/>
  <c r="F12" i="6"/>
  <c r="F11" i="6"/>
  <c r="F10" i="6"/>
  <c r="F9" i="6"/>
  <c r="F6" i="6"/>
  <c r="F9" i="3"/>
  <c r="F10" i="3"/>
  <c r="F11" i="3"/>
  <c r="F12" i="3"/>
  <c r="F13" i="3"/>
  <c r="F14" i="3"/>
  <c r="F15" i="3"/>
  <c r="F16" i="3"/>
  <c r="F17" i="3"/>
  <c r="F18" i="3"/>
  <c r="F6" i="3"/>
  <c r="F93" i="3" l="1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6" i="2" l="1"/>
  <c r="F9" i="2" l="1"/>
  <c r="F10" i="2"/>
  <c r="F11" i="2"/>
  <c r="F12" i="2"/>
  <c r="F13" i="2"/>
  <c r="F14" i="2"/>
  <c r="F15" i="2"/>
  <c r="F16" i="2"/>
  <c r="F17" i="2"/>
  <c r="F18" i="2"/>
</calcChain>
</file>

<file path=xl/sharedStrings.xml><?xml version="1.0" encoding="utf-8"?>
<sst xmlns="http://schemas.openxmlformats.org/spreadsheetml/2006/main" count="1366" uniqueCount="108">
  <si>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</si>
  <si>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</si>
  <si>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</si>
  <si>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</si>
  <si>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</si>
  <si>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</si>
  <si>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</si>
  <si>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</si>
  <si>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el Raval</t>
  </si>
  <si>
    <t>el Barri Gòtic</t>
  </si>
  <si>
    <t>la Barceloneta</t>
  </si>
  <si>
    <t>Sant Pere, Santa Caterina i la Ribera</t>
  </si>
  <si>
    <t>el Fort Pienc</t>
  </si>
  <si>
    <t>la Sagrada Família</t>
  </si>
  <si>
    <t>la Dreta de l'Eixample</t>
  </si>
  <si>
    <t>l'Antiga Esquerra de l'Eixample</t>
  </si>
  <si>
    <t>la Nova Esquerra de l'Eixample</t>
  </si>
  <si>
    <t>Sant Antoni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</si>
  <si>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</si>
  <si>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</si>
  <si>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</si>
  <si>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</si>
  <si>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</si>
  <si>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</si>
  <si>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</si>
  <si>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la Maternitat i Sant Ramon</t>
  </si>
  <si>
    <t>Pedralbes</t>
  </si>
  <si>
    <t>Vallvidrera, el Tibidabo i les Planes</t>
  </si>
  <si>
    <t>Sarrià</t>
  </si>
  <si>
    <t>les Tres Torres</t>
  </si>
  <si>
    <t>Sant Gervasi - la Bonanova</t>
  </si>
  <si>
    <t>Sant Gervasi - Galvany</t>
  </si>
  <si>
    <t>el Putxet i el Farró</t>
  </si>
  <si>
    <t>Vallcarca i els Penitents</t>
  </si>
  <si>
    <t>el Coll</t>
  </si>
  <si>
    <t>la Salut</t>
  </si>
  <si>
    <t>la Vila de Gràcia</t>
  </si>
  <si>
    <t>el Camp d'en Grassot i Gràcia Nova</t>
  </si>
  <si>
    <t>el Baix Guinardó</t>
  </si>
  <si>
    <t>Can Baró</t>
  </si>
  <si>
    <t>el Guinardó</t>
  </si>
  <si>
    <t>la Font d'en Fargues</t>
  </si>
  <si>
    <t>el Carmel</t>
  </si>
  <si>
    <t>la Teixonera</t>
  </si>
  <si>
    <t>Sant Genís dels Agudells</t>
  </si>
  <si>
    <t>Montbau</t>
  </si>
  <si>
    <t>la Vall d'Hebron</t>
  </si>
  <si>
    <t>la Clota</t>
  </si>
  <si>
    <t>Horta</t>
  </si>
  <si>
    <t>Vilapicina i la Torre Llobeta</t>
  </si>
  <si>
    <t>Porta</t>
  </si>
  <si>
    <t>el Turó de la Peira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</si>
  <si>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</si>
  <si>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</si>
  <si>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</si>
  <si>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</si>
  <si>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</si>
  <si>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</si>
  <si>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</si>
  <si>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Torre Baró</t>
  </si>
  <si>
    <t>Ciutat Meridiana</t>
  </si>
  <si>
    <t>la Trinitat Vella</t>
  </si>
  <si>
    <t>Baró de Viver</t>
  </si>
  <si>
    <t>el Bon Pastor</t>
  </si>
  <si>
    <t>Sant Andreu</t>
  </si>
  <si>
    <t>la Sagrera</t>
  </si>
  <si>
    <t>el Congrés i els Indians</t>
  </si>
  <si>
    <t>Navas</t>
  </si>
  <si>
    <t>el Camp de l'Arpa del Clot</t>
  </si>
  <si>
    <t>el Clot</t>
  </si>
  <si>
    <t>el Parc i la Llacuna del Poblenou</t>
  </si>
  <si>
    <t>la Vila Olímpica del Poblenou</t>
  </si>
  <si>
    <t>el Poblenou</t>
  </si>
  <si>
    <t>Diagonal Mar i el Front Marítim del Poblenou</t>
  </si>
  <si>
    <t>el Besòs i el Maresme</t>
  </si>
  <si>
    <t>Provençals del Poblenou</t>
  </si>
  <si>
    <t>Sant Martí de Provençals</t>
  </si>
  <si>
    <t>la Verneda i la Pau</t>
  </si>
  <si>
    <t>Vallbona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</si>
  <si>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</si>
  <si>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</si>
  <si>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</si>
  <si>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</si>
  <si>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</si>
  <si>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</si>
  <si>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</si>
  <si>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</si>
  <si>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Martí</t>
  </si>
  <si>
    <t>Districtes municipals</t>
  </si>
  <si>
    <t>Barris</t>
  </si>
  <si>
    <t>Codi</t>
  </si>
  <si>
    <t>Compravendes d'habitatge registrades a Barcelona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</si>
  <si>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</si>
  <si>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* Les dades del conjunt de la ciutat no corresponen a l'agregat dels barris o districtes ja que hi poden haver habitatges que no s'han pogut geolocalitzar.</t>
  </si>
  <si>
    <t>Barcelona*</t>
  </si>
  <si>
    <r>
      <t>Període</t>
    </r>
    <r>
      <rPr>
        <b/>
        <sz val="10"/>
        <rFont val="Arial"/>
        <family val="2"/>
      </rPr>
      <t>: 1r. trimestre 2025</t>
    </r>
  </si>
  <si>
    <t>el Poble Sec</t>
  </si>
  <si>
    <t>la Marina del Prat Vermell</t>
  </si>
  <si>
    <r>
      <t>Període</t>
    </r>
    <r>
      <rPr>
        <b/>
        <sz val="10"/>
        <rFont val="Arial"/>
        <family val="2"/>
      </rPr>
      <t>: 2n. trimestre 2025</t>
    </r>
  </si>
  <si>
    <r>
      <t>Període</t>
    </r>
    <r>
      <rPr>
        <b/>
        <sz val="10"/>
        <rFont val="Arial"/>
        <family val="2"/>
      </rPr>
      <t>: 3r. trimestre 2025</t>
    </r>
  </si>
  <si>
    <t>n.d.</t>
  </si>
  <si>
    <r>
      <t>Període</t>
    </r>
    <r>
      <rPr>
        <b/>
        <sz val="10"/>
        <rFont val="Arial"/>
        <family val="2"/>
      </rPr>
      <t>: 4t. trimestre 2025</t>
    </r>
  </si>
  <si>
    <r>
      <t>Període</t>
    </r>
    <r>
      <rPr>
        <b/>
        <sz val="10"/>
        <rFont val="Arial"/>
        <family val="2"/>
      </rPr>
      <t>: abril 2024 - març 2025</t>
    </r>
  </si>
  <si>
    <r>
      <t>Període</t>
    </r>
    <r>
      <rPr>
        <b/>
        <sz val="10"/>
        <rFont val="Arial"/>
        <family val="2"/>
      </rPr>
      <t>: juliol 2024 - juny 2025</t>
    </r>
  </si>
  <si>
    <r>
      <t>Període</t>
    </r>
    <r>
      <rPr>
        <b/>
        <sz val="10"/>
        <rFont val="Arial"/>
        <family val="2"/>
      </rPr>
      <t>: octubre 2024 - setembre 2025</t>
    </r>
  </si>
  <si>
    <r>
      <t>Període</t>
    </r>
    <r>
      <rPr>
        <b/>
        <sz val="10"/>
        <rFont val="Arial"/>
        <family val="2"/>
      </rPr>
      <t>: Gener - juny 2025</t>
    </r>
  </si>
  <si>
    <r>
      <t>Període</t>
    </r>
    <r>
      <rPr>
        <b/>
        <sz val="10"/>
        <rFont val="Arial"/>
        <family val="2"/>
      </rPr>
      <t>: Gener - setembre 2025</t>
    </r>
  </si>
  <si>
    <r>
      <t>Període</t>
    </r>
    <r>
      <rPr>
        <b/>
        <sz val="10"/>
        <rFont val="Arial"/>
        <family val="2"/>
      </rPr>
      <t>: gener 2025 -desembre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</si>
</sst>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2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53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1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horizontal="centerContinuous"/>
    </xf>
    <xf numFmtId="164" fontId="1" fillId="0" borderId="1" xfId="0" applyNumberFormat="1" applyFont="1" applyBorder="1" applyAlignment="1">
      <alignment horizontal="centerContinuous"/>
    </xf>
    <xf numFmtId="164" fontId="3" fillId="0" borderId="1" xfId="0" applyNumberFormat="1" applyFont="1" applyBorder="1" applyAlignment="1">
      <alignment horizontal="right" wrapText="1"/>
    </xf>
    <xf numFmtId="164" fontId="6" fillId="0" borderId="0" xfId="0" applyNumberFormat="1" applyFont="1"/>
    <xf numFmtId="3" fontId="6" fillId="0" borderId="0" xfId="0" applyNumberFormat="1" applyFont="1"/>
    <xf numFmtId="3" fontId="6" fillId="0" borderId="1" xfId="0" applyNumberFormat="1" applyFont="1" applyBorder="1"/>
    <xf numFmtId="164" fontId="6" fillId="0" borderId="0" xfId="0" applyNumberFormat="1" applyFont="1" applyBorder="1"/>
    <xf numFmtId="3" fontId="6" fillId="0" borderId="0" xfId="0" applyNumberFormat="1" applyFont="1" applyBorder="1" applyAlignment="1">
      <alignment wrapText="1"/>
    </xf>
    <xf numFmtId="165" fontId="6" fillId="0" borderId="0" xfId="0" applyNumberFormat="1" applyFont="1" applyBorder="1" applyAlignment="1">
      <alignment horizontal="right" wrapText="1"/>
    </xf>
    <xf numFmtId="165" fontId="6" fillId="0" borderId="0" xfId="0" applyNumberFormat="1" applyFont="1" applyBorder="1" applyAlignment="1">
      <alignment wrapText="1"/>
    </xf>
    <xf numFmtId="3" fontId="6" fillId="0" borderId="0" xfId="0" applyNumberFormat="1" applyFont="1" applyAlignment="1">
      <alignment wrapText="1"/>
    </xf>
    <xf numFmtId="3" fontId="8" fillId="0" borderId="0" xfId="0" applyNumberFormat="1" applyFont="1" applyBorder="1" applyAlignment="1">
      <alignment wrapText="1"/>
    </xf>
    <xf numFmtId="3" fontId="1" fillId="0" borderId="1" xfId="0" applyNumberFormat="1" applyFont="1" applyBorder="1"/>
    <xf numFmtId="165" fontId="1" fillId="0" borderId="1" xfId="0" applyNumberFormat="1" applyFont="1" applyBorder="1"/>
    <xf numFmtId="164" fontId="6" fillId="0" borderId="0" xfId="0" applyNumberFormat="1" applyFont="1" applyBorder="1" applyAlignment="1">
      <alignment horizontal="right" wrapText="1"/>
    </xf>
    <xf numFmtId="164" fontId="1" fillId="0" borderId="1" xfId="0" applyNumberFormat="1" applyFont="1" applyBorder="1"/>
    <xf numFmtId="0" fontId="6" fillId="0" borderId="0" xfId="0" applyFont="1"/>
    <xf numFmtId="3" fontId="3" fillId="0" borderId="0" xfId="0" applyNumberFormat="1" applyFont="1" applyBorder="1" applyAlignment="1">
      <alignment wrapText="1"/>
    </xf>
    <xf numFmtId="0" fontId="6" fillId="0" borderId="1" xfId="0" applyFont="1" applyBorder="1"/>
    <xf numFmtId="3" fontId="9" fillId="0" borderId="0" xfId="0" applyNumberFormat="1" applyFont="1"/>
    <xf numFmtId="165" fontId="6" fillId="0" borderId="0" xfId="0" applyNumberFormat="1" applyFont="1" applyFill="1" applyBorder="1" applyAlignment="1">
      <alignment horizontal="right" wrapText="1"/>
    </xf>
    <xf numFmtId="3" fontId="5" fillId="0" borderId="0" xfId="0" applyNumberFormat="1" applyFont="1" applyBorder="1"/>
    <xf numFmtId="166" fontId="1" fillId="0" borderId="0" xfId="0" applyNumberFormat="1" applyFont="1"/>
    <xf numFmtId="166" fontId="6" fillId="0" borderId="0" xfId="0" applyNumberFormat="1" applyFont="1" applyBorder="1" applyAlignment="1">
      <alignment horizontal="right" wrapText="1"/>
    </xf>
    <xf numFmtId="166" fontId="6" fillId="0" borderId="0" xfId="0" applyNumberFormat="1" applyFont="1" applyFill="1" applyBorder="1" applyAlignment="1">
      <alignment horizontal="right" wrapText="1"/>
    </xf>
    <xf numFmtId="166" fontId="1" fillId="0" borderId="1" xfId="0" applyNumberFormat="1" applyFont="1" applyBorder="1"/>
    <xf numFmtId="164" fontId="1" fillId="0" borderId="0" xfId="0" applyNumberFormat="1" applyFont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3" fontId="6" fillId="0" borderId="0" xfId="0" applyNumberFormat="1" applyFont="1" applyAlignment="1"/>
    <xf numFmtId="3" fontId="8" fillId="0" borderId="0" xfId="0" applyNumberFormat="1" applyFont="1" applyBorder="1" applyAlignment="1"/>
    <xf numFmtId="164" fontId="6" fillId="0" borderId="0" xfId="0" applyNumberFormat="1" applyFont="1" applyBorder="1" applyAlignment="1">
      <alignment horizontal="right"/>
    </xf>
    <xf numFmtId="3" fontId="6" fillId="0" borderId="0" xfId="0" applyNumberFormat="1" applyFont="1" applyBorder="1" applyAlignment="1"/>
    <xf numFmtId="165" fontId="6" fillId="0" borderId="0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0" fontId="6" fillId="0" borderId="0" xfId="0" applyFont="1" applyAlignment="1"/>
    <xf numFmtId="164" fontId="1" fillId="0" borderId="2" xfId="0" applyNumberFormat="1" applyFont="1" applyBorder="1"/>
    <xf numFmtId="164" fontId="1" fillId="0" borderId="2" xfId="0" applyNumberFormat="1" applyFont="1" applyBorder="1" applyAlignment="1">
      <alignment horizontal="right" wrapText="1"/>
    </xf>
    <xf numFmtId="3" fontId="1" fillId="0" borderId="2" xfId="0" applyNumberFormat="1" applyFont="1" applyBorder="1"/>
    <xf numFmtId="165" fontId="1" fillId="0" borderId="2" xfId="0" applyNumberFormat="1" applyFont="1" applyBorder="1"/>
    <xf numFmtId="166" fontId="1" fillId="0" borderId="2" xfId="0" applyNumberFormat="1" applyFont="1" applyBorder="1"/>
    <xf numFmtId="166" fontId="1" fillId="0" borderId="0" xfId="0" applyNumberFormat="1" applyFont="1" applyBorder="1"/>
    <xf numFmtId="166" fontId="3" fillId="0" borderId="1" xfId="0" applyNumberFormat="1" applyFont="1" applyBorder="1" applyAlignment="1">
      <alignment horizontal="centerContinuous"/>
    </xf>
    <xf numFmtId="166" fontId="3" fillId="0" borderId="1" xfId="0" applyNumberFormat="1" applyFont="1" applyBorder="1" applyAlignment="1">
      <alignment horizontal="right" wrapText="1"/>
    </xf>
    <xf numFmtId="166" fontId="6" fillId="0" borderId="0" xfId="0" applyNumberFormat="1" applyFont="1" applyBorder="1" applyAlignment="1"/>
    <xf numFmtId="166" fontId="6" fillId="0" borderId="0" xfId="0" applyNumberFormat="1" applyFont="1" applyBorder="1" applyAlignment="1">
      <alignment wrapText="1"/>
    </xf>
    <xf numFmtId="166" fontId="6" fillId="0" borderId="0" xfId="0" applyNumberFormat="1" applyFont="1" applyFill="1" applyBorder="1" applyAlignment="1">
      <alignment wrapText="1"/>
    </xf>
    <xf numFmtId="166" fontId="1" fillId="0" borderId="1" xfId="0" applyNumberFormat="1" applyFont="1" applyBorder="1" applyAlignment="1">
      <alignment wrapText="1"/>
    </xf>
    <xf numFmtId="166" fontId="1" fillId="0" borderId="0" xfId="0" applyNumberFormat="1" applyFont="1" applyAlignment="1">
      <alignment horizontal="right"/>
    </xf>
    <xf numFmtId="166" fontId="1" fillId="0" borderId="1" xfId="0" applyNumberFormat="1" applyFont="1" applyBorder="1" applyAlignment="1">
      <alignment horizontal="right"/>
    </xf>
    <xf numFmtId="3" fontId="2" fillId="0" borderId="0" xfId="0" applyNumberFormat="1" applyFont="1" applyFill="1"/>
    <xf numFmtId="3" fontId="1" fillId="0" borderId="0" xfId="0" applyNumberFormat="1" applyFont="1" applyFill="1"/>
    <xf numFmtId="164" fontId="1" fillId="0" borderId="0" xfId="0" applyNumberFormat="1" applyFont="1" applyFill="1"/>
    <xf numFmtId="165" fontId="1" fillId="0" borderId="0" xfId="0" applyNumberFormat="1" applyFont="1" applyFill="1"/>
    <xf numFmtId="166" fontId="1" fillId="0" borderId="0" xfId="0" applyNumberFormat="1" applyFont="1" applyFill="1"/>
    <xf numFmtId="3" fontId="9" fillId="0" borderId="0" xfId="0" applyNumberFormat="1" applyFont="1" applyFill="1"/>
    <xf numFmtId="164" fontId="3" fillId="0" borderId="1" xfId="0" applyNumberFormat="1" applyFont="1" applyFill="1" applyBorder="1" applyAlignment="1">
      <alignment horizontal="centerContinuous"/>
    </xf>
    <xf numFmtId="164" fontId="1" fillId="0" borderId="1" xfId="0" applyNumberFormat="1" applyFont="1" applyFill="1" applyBorder="1" applyAlignment="1">
      <alignment horizontal="centerContinuous"/>
    </xf>
    <xf numFmtId="165" fontId="3" fillId="0" borderId="1" xfId="0" applyNumberFormat="1" applyFont="1" applyFill="1" applyBorder="1" applyAlignment="1">
      <alignment horizontal="centerContinuous"/>
    </xf>
    <xf numFmtId="165" fontId="1" fillId="0" borderId="1" xfId="0" applyNumberFormat="1" applyFont="1" applyFill="1" applyBorder="1" applyAlignment="1">
      <alignment horizontal="centerContinuous"/>
    </xf>
    <xf numFmtId="166" fontId="3" fillId="0" borderId="1" xfId="0" applyNumberFormat="1" applyFont="1" applyFill="1" applyBorder="1" applyAlignment="1">
      <alignment horizontal="centerContinuous"/>
    </xf>
    <xf numFmtId="3" fontId="3" fillId="0" borderId="1" xfId="0" applyNumberFormat="1" applyFont="1" applyFill="1" applyBorder="1" applyAlignment="1">
      <alignment wrapText="1"/>
    </xf>
    <xf numFmtId="164" fontId="3" fillId="0" borderId="1" xfId="0" applyNumberFormat="1" applyFont="1" applyFill="1" applyBorder="1" applyAlignment="1">
      <alignment horizontal="right" wrapText="1"/>
    </xf>
    <xf numFmtId="3" fontId="1" fillId="0" borderId="1" xfId="0" applyNumberFormat="1" applyFont="1" applyFill="1" applyBorder="1" applyAlignment="1">
      <alignment wrapText="1"/>
    </xf>
    <xf numFmtId="165" fontId="3" fillId="0" borderId="1" xfId="0" applyNumberFormat="1" applyFont="1" applyFill="1" applyBorder="1" applyAlignment="1">
      <alignment horizontal="right" wrapText="1"/>
    </xf>
    <xf numFmtId="165" fontId="1" fillId="0" borderId="1" xfId="0" applyNumberFormat="1" applyFont="1" applyFill="1" applyBorder="1" applyAlignment="1">
      <alignment wrapText="1"/>
    </xf>
    <xf numFmtId="166" fontId="3" fillId="0" borderId="1" xfId="0" applyNumberFormat="1" applyFont="1" applyFill="1" applyBorder="1" applyAlignment="1">
      <alignment horizontal="right" wrapText="1"/>
    </xf>
    <xf numFmtId="166" fontId="1" fillId="0" borderId="1" xfId="0" applyNumberFormat="1" applyFont="1" applyFill="1" applyBorder="1" applyAlignment="1">
      <alignment wrapText="1"/>
    </xf>
    <xf numFmtId="3" fontId="1" fillId="0" borderId="0" xfId="0" applyNumberFormat="1" applyFont="1" applyFill="1" applyAlignment="1">
      <alignment wrapText="1"/>
    </xf>
    <xf numFmtId="3" fontId="6" fillId="0" borderId="0" xfId="0" applyNumberFormat="1" applyFont="1" applyFill="1" applyAlignment="1">
      <alignment wrapText="1"/>
    </xf>
    <xf numFmtId="3" fontId="3" fillId="0" borderId="0" xfId="0" applyNumberFormat="1" applyFont="1" applyFill="1" applyBorder="1" applyAlignment="1">
      <alignment wrapText="1"/>
    </xf>
    <xf numFmtId="3" fontId="6" fillId="0" borderId="0" xfId="0" applyNumberFormat="1" applyFont="1" applyFill="1" applyBorder="1" applyAlignment="1">
      <alignment wrapText="1"/>
    </xf>
    <xf numFmtId="164" fontId="6" fillId="0" borderId="0" xfId="0" applyNumberFormat="1" applyFont="1" applyFill="1" applyBorder="1" applyAlignment="1">
      <alignment horizontal="right" wrapText="1"/>
    </xf>
    <xf numFmtId="165" fontId="6" fillId="0" borderId="0" xfId="0" applyNumberFormat="1" applyFont="1" applyFill="1" applyBorder="1" applyAlignment="1">
      <alignment wrapText="1"/>
    </xf>
    <xf numFmtId="3" fontId="8" fillId="0" borderId="0" xfId="0" applyNumberFormat="1" applyFont="1" applyFill="1" applyBorder="1" applyAlignment="1">
      <alignment wrapText="1"/>
    </xf>
    <xf numFmtId="0" fontId="6" fillId="0" borderId="0" xfId="0" applyFont="1" applyFill="1"/>
    <xf numFmtId="164" fontId="6" fillId="0" borderId="0" xfId="0" applyNumberFormat="1" applyFont="1" applyFill="1"/>
    <xf numFmtId="164" fontId="1" fillId="0" borderId="0" xfId="0" applyNumberFormat="1" applyFont="1" applyFill="1" applyAlignment="1">
      <alignment horizontal="right" wrapText="1"/>
    </xf>
    <xf numFmtId="166" fontId="1" fillId="0" borderId="0" xfId="0" applyNumberFormat="1" applyFont="1" applyFill="1" applyAlignment="1">
      <alignment horizontal="right"/>
    </xf>
    <xf numFmtId="164" fontId="6" fillId="0" borderId="0" xfId="0" applyNumberFormat="1" applyFont="1" applyFill="1" applyBorder="1"/>
    <xf numFmtId="3" fontId="6" fillId="0" borderId="0" xfId="0" applyNumberFormat="1" applyFont="1" applyFill="1"/>
    <xf numFmtId="0" fontId="6" fillId="0" borderId="1" xfId="0" applyFont="1" applyFill="1" applyBorder="1"/>
    <xf numFmtId="3" fontId="6" fillId="0" borderId="1" xfId="0" applyNumberFormat="1" applyFont="1" applyFill="1" applyBorder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 wrapText="1"/>
    </xf>
    <xf numFmtId="3" fontId="1" fillId="0" borderId="1" xfId="0" applyNumberFormat="1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3" fontId="5" fillId="0" borderId="0" xfId="0" applyNumberFormat="1" applyFont="1" applyFill="1" applyBorder="1"/>
    <xf numFmtId="164" fontId="1" fillId="0" borderId="0" xfId="0" applyNumberFormat="1" applyFont="1" applyAlignment="1">
      <alignment horizontal="centerContinuous"/>
    </xf>
    <xf numFmtId="165" fontId="1" fillId="0" borderId="0" xfId="0" applyNumberFormat="1" applyFont="1" applyAlignment="1">
      <alignment horizontal="centerContinuous"/>
    </xf>
    <xf numFmtId="166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wrapText="1"/>
    </xf>
    <xf numFmtId="3" fontId="8" fillId="0" borderId="0" xfId="0" applyNumberFormat="1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1" xfId="0" applyFont="1" applyBorder="1"/>
    <xf numFmtId="3" fontId="5" fillId="0" borderId="0" xfId="0" applyNumberFormat="1" applyFont="1"/>
    <xf numFmtId="3" fontId="8" fillId="0" borderId="0" xfId="0" applyNumberFormat="1" applyFont="1" applyAlignment="1">
      <alignment wrapText="1"/>
    </xf>
    <xf numFmtId="3" fontId="2" fillId="0" borderId="0" xfId="1" applyNumberFormat="1" applyFont="1"/>
    <xf numFmtId="3" fontId="1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/>
    <xf numFmtId="166" fontId="1" fillId="0" borderId="0" xfId="1" applyNumberFormat="1" applyFont="1"/>
    <xf numFmtId="3" fontId="9" fillId="0" borderId="0" xfId="1" applyNumberFormat="1" applyFont="1"/>
    <xf numFmtId="164" fontId="3" fillId="0" borderId="1" xfId="1" applyNumberFormat="1" applyFont="1" applyBorder="1" applyAlignment="1">
      <alignment horizontal="centerContinuous"/>
    </xf>
    <xf numFmtId="164" fontId="1" fillId="0" borderId="1" xfId="1" applyNumberFormat="1" applyFont="1" applyBorder="1" applyAlignment="1">
      <alignment horizontal="centerContinuous"/>
    </xf>
    <xf numFmtId="164" fontId="1" fillId="0" borderId="0" xfId="1" applyNumberFormat="1" applyFont="1" applyAlignment="1">
      <alignment horizontal="centerContinuous"/>
    </xf>
    <xf numFmtId="165" fontId="3" fillId="0" borderId="1" xfId="1" applyNumberFormat="1" applyFont="1" applyBorder="1" applyAlignment="1">
      <alignment horizontal="centerContinuous"/>
    </xf>
    <xf numFmtId="165" fontId="1" fillId="0" borderId="1" xfId="1" applyNumberFormat="1" applyFont="1" applyBorder="1" applyAlignment="1">
      <alignment horizontal="centerContinuous"/>
    </xf>
    <xf numFmtId="165" fontId="1" fillId="0" borderId="0" xfId="1" applyNumberFormat="1" applyFont="1" applyAlignment="1">
      <alignment horizontal="centerContinuous"/>
    </xf>
    <xf numFmtId="166" fontId="3" fillId="0" borderId="1" xfId="1" applyNumberFormat="1" applyFont="1" applyBorder="1" applyAlignment="1">
      <alignment horizontal="centerContinuous"/>
    </xf>
    <xf numFmtId="166" fontId="3" fillId="0" borderId="0" xfId="1" applyNumberFormat="1" applyFont="1" applyAlignment="1">
      <alignment horizontal="centerContinuous"/>
    </xf>
    <xf numFmtId="3" fontId="3" fillId="0" borderId="1" xfId="1" applyNumberFormat="1" applyFont="1" applyBorder="1" applyAlignment="1">
      <alignment wrapText="1"/>
    </xf>
    <xf numFmtId="164" fontId="3" fillId="0" borderId="1" xfId="1" applyNumberFormat="1" applyFont="1" applyBorder="1" applyAlignment="1">
      <alignment horizontal="right" wrapText="1"/>
    </xf>
    <xf numFmtId="165" fontId="3" fillId="0" borderId="1" xfId="1" applyNumberFormat="1" applyFont="1" applyBorder="1" applyAlignment="1">
      <alignment horizontal="right" wrapText="1"/>
    </xf>
    <xf numFmtId="166" fontId="3" fillId="0" borderId="1" xfId="1" applyNumberFormat="1" applyFont="1" applyBorder="1" applyAlignment="1">
      <alignment horizontal="right" wrapText="1"/>
    </xf>
    <xf numFmtId="3" fontId="1" fillId="0" borderId="0" xfId="1" applyNumberFormat="1" applyFont="1" applyAlignment="1">
      <alignment wrapText="1"/>
    </xf>
    <xf numFmtId="3" fontId="3" fillId="0" borderId="0" xfId="1" applyNumberFormat="1" applyFont="1" applyAlignment="1">
      <alignment wrapText="1"/>
    </xf>
    <xf numFmtId="164" fontId="1" fillId="0" borderId="0" xfId="1" applyNumberFormat="1" applyFont="1" applyAlignment="1">
      <alignment horizontal="right" wrapText="1"/>
    </xf>
    <xf numFmtId="164" fontId="1" fillId="0" borderId="0" xfId="1" applyNumberFormat="1" applyFont="1" applyAlignment="1">
      <alignment wrapText="1"/>
    </xf>
    <xf numFmtId="165" fontId="1" fillId="0" borderId="0" xfId="1" applyNumberFormat="1" applyFont="1" applyAlignment="1">
      <alignment horizontal="right" wrapText="1"/>
    </xf>
    <xf numFmtId="166" fontId="1" fillId="0" borderId="0" xfId="1" applyNumberFormat="1" applyFont="1" applyAlignment="1">
      <alignment wrapText="1"/>
    </xf>
    <xf numFmtId="166" fontId="1" fillId="0" borderId="0" xfId="1" applyNumberFormat="1" applyFont="1" applyAlignment="1">
      <alignment horizontal="right" wrapText="1"/>
    </xf>
    <xf numFmtId="3" fontId="8" fillId="0" borderId="0" xfId="1" applyNumberFormat="1" applyFont="1"/>
    <xf numFmtId="164" fontId="1" fillId="0" borderId="0" xfId="1" applyNumberFormat="1" applyFont="1" applyAlignment="1">
      <alignment horizontal="right"/>
    </xf>
    <xf numFmtId="165" fontId="1" fillId="0" borderId="0" xfId="1" applyNumberFormat="1" applyFont="1" applyAlignment="1">
      <alignment horizontal="right"/>
    </xf>
    <xf numFmtId="166" fontId="1" fillId="0" borderId="0" xfId="1" applyNumberFormat="1" applyFont="1" applyAlignment="1">
      <alignment horizontal="right"/>
    </xf>
    <xf numFmtId="0" fontId="1" fillId="0" borderId="0" xfId="1" applyFont="1"/>
    <xf numFmtId="3" fontId="1" fillId="0" borderId="1" xfId="1" applyNumberFormat="1" applyFont="1" applyBorder="1"/>
    <xf numFmtId="164" fontId="1" fillId="0" borderId="1" xfId="1" applyNumberFormat="1" applyFont="1" applyBorder="1" applyAlignment="1">
      <alignment horizontal="right" wrapText="1"/>
    </xf>
    <xf numFmtId="164" fontId="1" fillId="0" borderId="1" xfId="1" applyNumberFormat="1" applyFont="1" applyBorder="1"/>
    <xf numFmtId="165" fontId="1" fillId="0" borderId="1" xfId="1" applyNumberFormat="1" applyFont="1" applyBorder="1"/>
    <xf numFmtId="166" fontId="1" fillId="0" borderId="1" xfId="1" applyNumberFormat="1" applyFont="1" applyBorder="1" applyAlignment="1">
      <alignment horizontal="right"/>
    </xf>
    <xf numFmtId="166" fontId="1" fillId="0" borderId="1" xfId="1" applyNumberFormat="1" applyFont="1" applyBorder="1"/>
    <xf numFmtId="3" fontId="5" fillId="0" borderId="0" xfId="1" applyNumberFormat="1" applyFont="1"/>
  </cellXfs>
  <cellStyles count="2">
    <cellStyle name="Normal" xfId="0" builtinId="0"/>
    <cellStyle name="Normal 2" xfId="1" xr:uid="{59519DE7-3542-43F8-8514-03080F8DF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8698-16A1-4DA5-943A-2A57291E43F2}">
  <dimension ref="A1:U95"/>
  <sheetViews>
    <sheetView tabSelected="1" workbookViewId="0"/>
  </sheetViews>
  <sheetFormatPr defaultColWidth="11.3984375" defaultRowHeight="11.65" x14ac:dyDescent="0.35"/>
  <cols>
    <col min="1" max="1" width="4.86328125" style="117" customWidth="1"/>
    <col min="2" max="2" width="35.73046875" style="117" customWidth="1"/>
    <col min="3" max="6" width="10.73046875" style="118" customWidth="1"/>
    <col min="7" max="7" width="2.73046875" style="118" customWidth="1"/>
    <col min="8" max="8" width="10.73046875" style="117" customWidth="1"/>
    <col min="9" max="11" width="10.73046875" style="119" customWidth="1"/>
    <col min="12" max="12" width="2.73046875" style="119" customWidth="1"/>
    <col min="13" max="15" width="10.73046875" style="120" customWidth="1"/>
    <col min="16" max="16" width="2.73046875" style="120" customWidth="1"/>
    <col min="17" max="21" width="10.73046875" style="120" customWidth="1"/>
    <col min="22" max="16384" width="11.3984375" style="117"/>
  </cols>
  <sheetData>
    <row r="1" spans="1:21" ht="13.9" x14ac:dyDescent="0.4">
      <c r="A1" s="116" t="s">
        <v>91</v>
      </c>
    </row>
    <row r="2" spans="1:21" ht="13.15" x14ac:dyDescent="0.4">
      <c r="A2" s="121" t="s">
        <v>107</v>
      </c>
    </row>
    <row r="4" spans="1:21" ht="13.9" x14ac:dyDescent="0.35">
      <c r="C4" s="122" t="s">
        <v>4</v>
      </c>
      <c r="D4" s="123"/>
      <c r="E4" s="123"/>
      <c r="F4" s="123"/>
      <c r="G4" s="124"/>
      <c r="H4" s="125" t="s">
        <v>92</v>
      </c>
      <c r="I4" s="126"/>
      <c r="J4" s="126"/>
      <c r="K4" s="126"/>
      <c r="L4" s="127"/>
      <c r="M4" s="128" t="s">
        <v>6</v>
      </c>
      <c r="N4" s="128"/>
      <c r="O4" s="128"/>
      <c r="P4" s="129"/>
      <c r="Q4" s="128" t="s">
        <v>7</v>
      </c>
      <c r="R4" s="128"/>
      <c r="S4" s="128"/>
      <c r="T4" s="117"/>
      <c r="U4" s="117"/>
    </row>
    <row r="5" spans="1:21" s="134" customFormat="1" ht="23.25" x14ac:dyDescent="0.35">
      <c r="A5" s="130" t="s">
        <v>90</v>
      </c>
      <c r="B5" s="130"/>
      <c r="C5" s="131" t="s">
        <v>0</v>
      </c>
      <c r="D5" s="131" t="s">
        <v>1</v>
      </c>
      <c r="E5" s="131" t="s">
        <v>2</v>
      </c>
      <c r="F5" s="131" t="s">
        <v>3</v>
      </c>
      <c r="G5" s="131"/>
      <c r="H5" s="132" t="s">
        <v>0</v>
      </c>
      <c r="I5" s="132" t="s">
        <v>1</v>
      </c>
      <c r="J5" s="132" t="s">
        <v>2</v>
      </c>
      <c r="K5" s="132" t="s">
        <v>3</v>
      </c>
      <c r="L5" s="132"/>
      <c r="M5" s="133" t="s">
        <v>5</v>
      </c>
      <c r="N5" s="133" t="s">
        <v>2</v>
      </c>
      <c r="O5" s="133" t="s">
        <v>3</v>
      </c>
      <c r="P5" s="133"/>
      <c r="Q5" s="133" t="s">
        <v>5</v>
      </c>
      <c r="R5" s="133" t="s">
        <v>2</v>
      </c>
      <c r="S5" s="133" t="s">
        <v>3</v>
      </c>
    </row>
    <row r="6" spans="1:21" s="134" customFormat="1" x14ac:dyDescent="0.35">
      <c r="B6" s="135" t="s">
        <v>94</v>
      </c>
      <c r="C6" s="118">
        <v>1348</v>
      </c>
      <c r="D6" s="118">
        <v>97</v>
      </c>
      <c r="E6" s="118">
        <v>14515</v>
      </c>
      <c r="F6" s="118">
        <v>15960</v>
      </c>
      <c r="G6" s="118"/>
      <c r="H6" s="118">
        <v>82.23</v>
      </c>
      <c r="I6" s="117">
        <v>79</v>
      </c>
      <c r="J6" s="119">
        <v>79.31</v>
      </c>
      <c r="K6" s="119">
        <v>79.55</v>
      </c>
      <c r="L6" s="119"/>
      <c r="M6" s="120">
        <v>449.37435999999997</v>
      </c>
      <c r="N6" s="120">
        <v>394.98070000000001</v>
      </c>
      <c r="O6" s="120">
        <v>399.83713</v>
      </c>
      <c r="P6" s="120"/>
      <c r="Q6" s="120">
        <v>5296.06</v>
      </c>
      <c r="R6" s="120">
        <v>4748.1000000000004</v>
      </c>
      <c r="S6" s="120">
        <v>4797.0200000000004</v>
      </c>
      <c r="T6" s="120"/>
      <c r="U6" s="120"/>
    </row>
    <row r="7" spans="1:21" s="134" customFormat="1" x14ac:dyDescent="0.35">
      <c r="C7" s="136"/>
      <c r="D7" s="136"/>
      <c r="E7" s="136"/>
      <c r="F7" s="137"/>
      <c r="I7" s="138"/>
      <c r="J7" s="138"/>
      <c r="K7" s="138"/>
      <c r="L7" s="138"/>
      <c r="M7" s="120"/>
      <c r="N7" s="120"/>
      <c r="O7" s="120"/>
      <c r="P7" s="139"/>
      <c r="Q7" s="140"/>
      <c r="R7" s="140"/>
      <c r="S7" s="140"/>
      <c r="T7" s="140"/>
      <c r="U7" s="139"/>
    </row>
    <row r="8" spans="1:21" x14ac:dyDescent="0.35">
      <c r="B8" s="141" t="s">
        <v>88</v>
      </c>
      <c r="C8" s="142"/>
      <c r="D8" s="142"/>
      <c r="E8" s="142"/>
      <c r="G8" s="117"/>
      <c r="I8" s="143"/>
      <c r="J8" s="143"/>
      <c r="K8" s="143"/>
      <c r="L8" s="143"/>
      <c r="Q8" s="144"/>
      <c r="R8" s="144"/>
      <c r="S8" s="144"/>
      <c r="T8" s="144"/>
    </row>
    <row r="9" spans="1:21" s="134" customFormat="1" x14ac:dyDescent="0.35">
      <c r="A9" s="145">
        <v>1</v>
      </c>
      <c r="B9" s="134" t="s">
        <v>79</v>
      </c>
      <c r="C9" s="136">
        <v>98</v>
      </c>
      <c r="D9" s="137">
        <v>0</v>
      </c>
      <c r="E9" s="137">
        <v>1390</v>
      </c>
      <c r="F9" s="136">
        <v>1488</v>
      </c>
      <c r="G9" s="138"/>
      <c r="H9" s="138">
        <v>55.25</v>
      </c>
      <c r="I9" s="138">
        <v>0</v>
      </c>
      <c r="J9" s="138">
        <v>66.739999999999995</v>
      </c>
      <c r="K9" s="138">
        <v>66.13</v>
      </c>
      <c r="L9" s="138"/>
      <c r="M9" s="120">
        <v>292.86959999999999</v>
      </c>
      <c r="N9" s="120">
        <v>281.61802</v>
      </c>
      <c r="O9" s="120">
        <v>282.22045000000003</v>
      </c>
      <c r="P9" s="140"/>
      <c r="Q9" s="140">
        <v>5328.83</v>
      </c>
      <c r="R9" s="140">
        <v>4394.76</v>
      </c>
      <c r="S9" s="139">
        <v>4444.7700000000004</v>
      </c>
      <c r="T9" s="140"/>
      <c r="U9" s="140"/>
    </row>
    <row r="10" spans="1:21" s="134" customFormat="1" x14ac:dyDescent="0.35">
      <c r="A10" s="145">
        <v>2</v>
      </c>
      <c r="B10" s="134" t="s">
        <v>80</v>
      </c>
      <c r="C10" s="136">
        <v>385</v>
      </c>
      <c r="D10" s="137">
        <v>20</v>
      </c>
      <c r="E10" s="137">
        <v>2070</v>
      </c>
      <c r="F10" s="136">
        <v>2475</v>
      </c>
      <c r="G10" s="138"/>
      <c r="H10" s="138">
        <v>94.6</v>
      </c>
      <c r="I10" s="138">
        <v>92.44</v>
      </c>
      <c r="J10" s="138">
        <v>91.26</v>
      </c>
      <c r="K10" s="138">
        <v>91.77</v>
      </c>
      <c r="L10" s="138"/>
      <c r="M10" s="120">
        <v>600.17670999999996</v>
      </c>
      <c r="N10" s="120">
        <v>536.11162999999999</v>
      </c>
      <c r="O10" s="120">
        <v>546.06230000000005</v>
      </c>
      <c r="P10" s="140"/>
      <c r="Q10" s="140">
        <v>6176.63</v>
      </c>
      <c r="R10" s="140">
        <v>5804.11</v>
      </c>
      <c r="S10" s="139">
        <v>5861.97</v>
      </c>
      <c r="T10" s="140"/>
    </row>
    <row r="11" spans="1:21" s="134" customFormat="1" x14ac:dyDescent="0.35">
      <c r="A11" s="145">
        <v>3</v>
      </c>
      <c r="B11" s="134" t="s">
        <v>81</v>
      </c>
      <c r="C11" s="136">
        <v>200</v>
      </c>
      <c r="D11" s="137">
        <v>37</v>
      </c>
      <c r="E11" s="137">
        <v>1773</v>
      </c>
      <c r="F11" s="136">
        <v>2010</v>
      </c>
      <c r="G11" s="138"/>
      <c r="H11" s="138">
        <v>76.66</v>
      </c>
      <c r="I11" s="138">
        <v>84.15</v>
      </c>
      <c r="J11" s="138">
        <v>66.989999999999995</v>
      </c>
      <c r="K11" s="138">
        <v>68.22</v>
      </c>
      <c r="L11" s="138"/>
      <c r="M11" s="120">
        <v>388.70213999999999</v>
      </c>
      <c r="N11" s="120">
        <v>295.81761999999998</v>
      </c>
      <c r="O11" s="120">
        <v>305.23039</v>
      </c>
      <c r="P11" s="140"/>
      <c r="Q11" s="140">
        <v>5130.3</v>
      </c>
      <c r="R11" s="140">
        <v>4532.5200000000004</v>
      </c>
      <c r="S11" s="139">
        <v>4593.1000000000004</v>
      </c>
      <c r="T11" s="140"/>
    </row>
    <row r="12" spans="1:21" s="134" customFormat="1" x14ac:dyDescent="0.35">
      <c r="A12" s="145">
        <v>4</v>
      </c>
      <c r="B12" s="134" t="s">
        <v>82</v>
      </c>
      <c r="C12" s="136">
        <v>13</v>
      </c>
      <c r="D12" s="137">
        <v>0</v>
      </c>
      <c r="E12" s="137">
        <v>646</v>
      </c>
      <c r="F12" s="136">
        <v>659</v>
      </c>
      <c r="G12" s="138"/>
      <c r="H12" s="138">
        <v>101.6</v>
      </c>
      <c r="I12" s="138">
        <v>0</v>
      </c>
      <c r="J12" s="138">
        <v>99.3</v>
      </c>
      <c r="K12" s="138">
        <v>99.34</v>
      </c>
      <c r="L12" s="138"/>
      <c r="M12" s="120">
        <v>624.3501</v>
      </c>
      <c r="N12" s="120">
        <v>622.09375</v>
      </c>
      <c r="O12" s="120">
        <v>622.13672999999994</v>
      </c>
      <c r="P12" s="140"/>
      <c r="Q12" s="140">
        <v>6125.81</v>
      </c>
      <c r="R12" s="140">
        <v>5874.88</v>
      </c>
      <c r="S12" s="139">
        <v>5879.66</v>
      </c>
      <c r="T12" s="140"/>
    </row>
    <row r="13" spans="1:21" s="134" customFormat="1" x14ac:dyDescent="0.35">
      <c r="A13" s="145">
        <v>5</v>
      </c>
      <c r="B13" s="134" t="s">
        <v>83</v>
      </c>
      <c r="C13" s="136">
        <v>70</v>
      </c>
      <c r="D13" s="137">
        <v>0</v>
      </c>
      <c r="E13" s="137">
        <v>1303</v>
      </c>
      <c r="F13" s="136">
        <v>1373</v>
      </c>
      <c r="G13" s="138"/>
      <c r="H13" s="138">
        <v>121.79</v>
      </c>
      <c r="I13" s="138">
        <v>0</v>
      </c>
      <c r="J13" s="138">
        <v>128.25</v>
      </c>
      <c r="K13" s="138">
        <v>127.94</v>
      </c>
      <c r="L13" s="138"/>
      <c r="M13" s="120">
        <v>822.10743000000002</v>
      </c>
      <c r="N13" s="120">
        <v>816.27760999999998</v>
      </c>
      <c r="O13" s="120">
        <v>816.56710999999996</v>
      </c>
      <c r="P13" s="140"/>
      <c r="Q13" s="140">
        <v>6424.09</v>
      </c>
      <c r="R13" s="140">
        <v>6427.55</v>
      </c>
      <c r="S13" s="139">
        <v>6427.38</v>
      </c>
      <c r="T13" s="140"/>
      <c r="U13" s="140"/>
    </row>
    <row r="14" spans="1:21" s="134" customFormat="1" x14ac:dyDescent="0.35">
      <c r="A14" s="145">
        <v>6</v>
      </c>
      <c r="B14" s="134" t="s">
        <v>84</v>
      </c>
      <c r="C14" s="136">
        <v>53</v>
      </c>
      <c r="D14" s="137">
        <v>2</v>
      </c>
      <c r="E14" s="137">
        <v>1011</v>
      </c>
      <c r="F14" s="136">
        <v>1066</v>
      </c>
      <c r="G14" s="138"/>
      <c r="H14" s="138">
        <v>80.09</v>
      </c>
      <c r="I14" s="138">
        <v>61</v>
      </c>
      <c r="J14" s="138">
        <v>77.97</v>
      </c>
      <c r="K14" s="138">
        <v>78.040000000000006</v>
      </c>
      <c r="L14" s="138"/>
      <c r="M14" s="120">
        <v>340.56446999999997</v>
      </c>
      <c r="N14" s="120">
        <v>407.08366999999998</v>
      </c>
      <c r="O14" s="120">
        <v>403.90936999999997</v>
      </c>
      <c r="P14" s="140"/>
      <c r="Q14" s="140">
        <v>4240.74</v>
      </c>
      <c r="R14" s="140">
        <v>5313.74</v>
      </c>
      <c r="S14" s="139">
        <v>5262.53</v>
      </c>
      <c r="T14" s="140"/>
      <c r="U14" s="140"/>
    </row>
    <row r="15" spans="1:21" s="134" customFormat="1" x14ac:dyDescent="0.35">
      <c r="A15" s="145">
        <v>7</v>
      </c>
      <c r="B15" s="134" t="s">
        <v>85</v>
      </c>
      <c r="C15" s="136">
        <v>246</v>
      </c>
      <c r="D15" s="137">
        <v>7</v>
      </c>
      <c r="E15" s="137">
        <v>1277</v>
      </c>
      <c r="F15" s="136">
        <v>1530</v>
      </c>
      <c r="G15" s="138"/>
      <c r="H15" s="138">
        <v>71.25</v>
      </c>
      <c r="I15" s="138">
        <v>60.72</v>
      </c>
      <c r="J15" s="138">
        <v>68.84</v>
      </c>
      <c r="K15" s="138">
        <v>69.180000000000007</v>
      </c>
      <c r="L15" s="138"/>
      <c r="M15" s="120">
        <v>256.44788</v>
      </c>
      <c r="N15" s="120">
        <v>267.62619000000001</v>
      </c>
      <c r="O15" s="120">
        <v>265.80099000000001</v>
      </c>
      <c r="P15" s="140"/>
      <c r="Q15" s="140">
        <v>3554.46</v>
      </c>
      <c r="R15" s="140">
        <v>3882.83</v>
      </c>
      <c r="S15" s="139">
        <v>3829.22</v>
      </c>
      <c r="T15" s="140"/>
      <c r="U15" s="140"/>
    </row>
    <row r="16" spans="1:21" s="134" customFormat="1" x14ac:dyDescent="0.35">
      <c r="A16" s="145">
        <v>8</v>
      </c>
      <c r="B16" s="134" t="s">
        <v>86</v>
      </c>
      <c r="C16" s="136">
        <v>23</v>
      </c>
      <c r="D16" s="137">
        <v>0</v>
      </c>
      <c r="E16" s="137">
        <v>1693</v>
      </c>
      <c r="F16" s="136">
        <v>1716</v>
      </c>
      <c r="G16" s="138"/>
      <c r="H16" s="138">
        <v>71.95</v>
      </c>
      <c r="I16" s="138">
        <v>0</v>
      </c>
      <c r="J16" s="138">
        <v>63.65</v>
      </c>
      <c r="K16" s="138">
        <v>63.77</v>
      </c>
      <c r="L16" s="138"/>
      <c r="M16" s="120">
        <v>265.39519000000001</v>
      </c>
      <c r="N16" s="120">
        <v>195.67903000000001</v>
      </c>
      <c r="O16" s="120">
        <v>196.99089999999998</v>
      </c>
      <c r="P16" s="140"/>
      <c r="Q16" s="140">
        <v>3944.17</v>
      </c>
      <c r="R16" s="140">
        <v>3079.13</v>
      </c>
      <c r="S16" s="139">
        <v>3095.41</v>
      </c>
      <c r="T16" s="140"/>
      <c r="U16" s="140"/>
    </row>
    <row r="17" spans="1:21" s="134" customFormat="1" x14ac:dyDescent="0.35">
      <c r="A17" s="145">
        <v>9</v>
      </c>
      <c r="B17" s="134" t="s">
        <v>64</v>
      </c>
      <c r="C17" s="136">
        <v>82</v>
      </c>
      <c r="D17" s="137">
        <v>6</v>
      </c>
      <c r="E17" s="137">
        <v>1218</v>
      </c>
      <c r="F17" s="136">
        <v>1306</v>
      </c>
      <c r="G17" s="138"/>
      <c r="H17" s="138">
        <v>82.73</v>
      </c>
      <c r="I17" s="138">
        <v>64.83</v>
      </c>
      <c r="J17" s="138">
        <v>71.92</v>
      </c>
      <c r="K17" s="138">
        <v>72.569999999999993</v>
      </c>
      <c r="L17" s="138"/>
      <c r="M17" s="120">
        <v>394.17142999999999</v>
      </c>
      <c r="N17" s="120">
        <v>264.75001000000003</v>
      </c>
      <c r="O17" s="120">
        <v>274.44067999999999</v>
      </c>
      <c r="P17" s="140"/>
      <c r="Q17" s="140">
        <v>5119.0200000000004</v>
      </c>
      <c r="R17" s="140">
        <v>3701.03</v>
      </c>
      <c r="S17" s="139">
        <v>3807.21</v>
      </c>
      <c r="T17" s="140"/>
      <c r="U17" s="140"/>
    </row>
    <row r="18" spans="1:21" s="134" customFormat="1" x14ac:dyDescent="0.35">
      <c r="A18" s="145">
        <v>10</v>
      </c>
      <c r="B18" s="134" t="s">
        <v>87</v>
      </c>
      <c r="C18" s="136">
        <v>172</v>
      </c>
      <c r="D18" s="137">
        <v>25</v>
      </c>
      <c r="E18" s="137">
        <v>2049</v>
      </c>
      <c r="F18" s="136">
        <v>2246</v>
      </c>
      <c r="G18" s="138"/>
      <c r="H18" s="138">
        <v>75.37</v>
      </c>
      <c r="I18" s="138">
        <v>73.09</v>
      </c>
      <c r="J18" s="138">
        <v>73.59</v>
      </c>
      <c r="K18" s="138">
        <v>73.73</v>
      </c>
      <c r="L18" s="138"/>
      <c r="M18" s="120">
        <v>476.85828000000004</v>
      </c>
      <c r="N18" s="120">
        <v>343.37779999999998</v>
      </c>
      <c r="O18" s="120">
        <v>355.29702000000003</v>
      </c>
      <c r="P18" s="140"/>
      <c r="Q18" s="140">
        <v>6240.22</v>
      </c>
      <c r="R18" s="140">
        <v>4582.75</v>
      </c>
      <c r="S18" s="139">
        <v>4730.75</v>
      </c>
      <c r="T18" s="140"/>
      <c r="U18" s="140"/>
    </row>
    <row r="19" spans="1:21" s="134" customFormat="1" x14ac:dyDescent="0.35">
      <c r="A19" s="145"/>
      <c r="C19" s="136"/>
      <c r="D19" s="136"/>
      <c r="E19" s="136"/>
      <c r="F19" s="137"/>
      <c r="H19" s="138"/>
      <c r="I19" s="138"/>
      <c r="J19" s="138"/>
      <c r="K19" s="138"/>
      <c r="L19" s="138"/>
      <c r="M19" s="120"/>
      <c r="N19" s="120"/>
      <c r="O19" s="120"/>
      <c r="P19" s="140"/>
      <c r="Q19" s="140"/>
      <c r="R19" s="140"/>
      <c r="S19" s="140"/>
      <c r="T19" s="139"/>
      <c r="U19" s="140"/>
    </row>
    <row r="20" spans="1:21" x14ac:dyDescent="0.35">
      <c r="A20" s="145"/>
      <c r="B20" s="141" t="s">
        <v>89</v>
      </c>
      <c r="C20" s="142"/>
      <c r="F20" s="142"/>
      <c r="G20" s="143"/>
      <c r="H20" s="143"/>
      <c r="I20" s="143"/>
      <c r="J20" s="143"/>
      <c r="K20" s="143"/>
      <c r="L20" s="143"/>
      <c r="P20" s="144"/>
      <c r="Q20" s="144"/>
      <c r="R20" s="144"/>
      <c r="T20" s="144"/>
      <c r="U20" s="144"/>
    </row>
    <row r="21" spans="1:21" x14ac:dyDescent="0.35">
      <c r="A21" s="145">
        <v>1</v>
      </c>
      <c r="B21" s="118" t="s">
        <v>8</v>
      </c>
      <c r="C21" s="136">
        <v>52</v>
      </c>
      <c r="D21" s="118">
        <v>0</v>
      </c>
      <c r="E21" s="118">
        <v>610</v>
      </c>
      <c r="F21" s="118">
        <v>662</v>
      </c>
      <c r="G21" s="119"/>
      <c r="H21" s="119">
        <v>53</v>
      </c>
      <c r="I21" s="119">
        <v>0</v>
      </c>
      <c r="J21" s="119">
        <v>61.95</v>
      </c>
      <c r="K21" s="119">
        <v>61.52</v>
      </c>
      <c r="M21" s="120">
        <v>256.46154000000001</v>
      </c>
      <c r="N21" s="120">
        <v>219.14966000000001</v>
      </c>
      <c r="O21" s="120">
        <v>220.95618999999999</v>
      </c>
      <c r="Q21" s="120">
        <v>4640.8599999999997</v>
      </c>
      <c r="R21" s="120">
        <v>3644.93</v>
      </c>
      <c r="S21" s="120">
        <v>3693.15</v>
      </c>
    </row>
    <row r="22" spans="1:21" x14ac:dyDescent="0.35">
      <c r="A22" s="145">
        <v>2</v>
      </c>
      <c r="B22" s="118" t="s">
        <v>9</v>
      </c>
      <c r="C22" s="136">
        <v>12</v>
      </c>
      <c r="D22" s="118">
        <v>0</v>
      </c>
      <c r="E22" s="118">
        <v>253</v>
      </c>
      <c r="F22" s="118">
        <v>265</v>
      </c>
      <c r="G22" s="119"/>
      <c r="H22" s="119">
        <v>82.8</v>
      </c>
      <c r="I22" s="119">
        <v>0</v>
      </c>
      <c r="J22" s="119">
        <v>91.22</v>
      </c>
      <c r="K22" s="119">
        <v>90.82</v>
      </c>
      <c r="M22" s="120">
        <v>438.05968000000001</v>
      </c>
      <c r="N22" s="120">
        <v>402.64704</v>
      </c>
      <c r="O22" s="120">
        <v>404.33335999999997</v>
      </c>
      <c r="Q22" s="120">
        <v>5182.6499999999996</v>
      </c>
      <c r="R22" s="120">
        <v>4624.1400000000003</v>
      </c>
      <c r="S22" s="120">
        <v>4650.74</v>
      </c>
    </row>
    <row r="23" spans="1:21" x14ac:dyDescent="0.35">
      <c r="A23" s="145">
        <v>3</v>
      </c>
      <c r="B23" s="118" t="s">
        <v>10</v>
      </c>
      <c r="C23" s="136">
        <v>23</v>
      </c>
      <c r="D23" s="118">
        <v>0</v>
      </c>
      <c r="E23" s="118">
        <v>208</v>
      </c>
      <c r="F23" s="118">
        <v>231</v>
      </c>
      <c r="G23" s="119"/>
      <c r="H23" s="119">
        <v>37</v>
      </c>
      <c r="I23" s="119">
        <v>0</v>
      </c>
      <c r="J23" s="119">
        <v>45.33</v>
      </c>
      <c r="K23" s="119">
        <v>44.47</v>
      </c>
      <c r="M23" s="120">
        <v>227.06579000000002</v>
      </c>
      <c r="N23" s="120">
        <v>244.82616000000002</v>
      </c>
      <c r="O23" s="120">
        <v>242.96180999999999</v>
      </c>
      <c r="Q23" s="120">
        <v>6340.9</v>
      </c>
      <c r="R23" s="120">
        <v>5685.62</v>
      </c>
      <c r="S23" s="120">
        <v>5754.41</v>
      </c>
    </row>
    <row r="24" spans="1:21" x14ac:dyDescent="0.35">
      <c r="A24" s="145">
        <v>4</v>
      </c>
      <c r="B24" s="118" t="s">
        <v>11</v>
      </c>
      <c r="C24" s="136">
        <v>11</v>
      </c>
      <c r="D24" s="118">
        <v>0</v>
      </c>
      <c r="E24" s="118">
        <v>319</v>
      </c>
      <c r="F24" s="118">
        <v>330</v>
      </c>
      <c r="G24" s="119"/>
      <c r="H24" s="119">
        <v>68.2</v>
      </c>
      <c r="I24" s="119">
        <v>0</v>
      </c>
      <c r="J24" s="119">
        <v>70.53</v>
      </c>
      <c r="K24" s="119">
        <v>70.45</v>
      </c>
      <c r="M24" s="120">
        <v>367.36772999999999</v>
      </c>
      <c r="N24" s="120">
        <v>331.16804999999999</v>
      </c>
      <c r="O24" s="120">
        <v>332.43377000000004</v>
      </c>
      <c r="Q24" s="120">
        <v>5340.78</v>
      </c>
      <c r="R24" s="120">
        <v>4859.12</v>
      </c>
      <c r="S24" s="120">
        <v>4875.96</v>
      </c>
    </row>
    <row r="25" spans="1:21" x14ac:dyDescent="0.35">
      <c r="A25" s="145">
        <v>5</v>
      </c>
      <c r="B25" s="118" t="s">
        <v>12</v>
      </c>
      <c r="C25" s="136">
        <v>6</v>
      </c>
      <c r="D25" s="118">
        <v>0</v>
      </c>
      <c r="E25" s="118">
        <v>211</v>
      </c>
      <c r="F25" s="118">
        <v>217</v>
      </c>
      <c r="G25" s="119"/>
      <c r="H25" s="119">
        <v>95.33</v>
      </c>
      <c r="I25" s="119">
        <v>0</v>
      </c>
      <c r="J25" s="119">
        <v>79.849999999999994</v>
      </c>
      <c r="K25" s="119">
        <v>80.319999999999993</v>
      </c>
      <c r="M25" s="120">
        <v>711.33332999999993</v>
      </c>
      <c r="N25" s="120">
        <v>400.11327</v>
      </c>
      <c r="O25" s="120">
        <v>409.78851000000003</v>
      </c>
      <c r="Q25" s="120">
        <v>6790.58</v>
      </c>
      <c r="R25" s="120">
        <v>5105.63</v>
      </c>
      <c r="S25" s="120">
        <v>5158.01</v>
      </c>
    </row>
    <row r="26" spans="1:21" x14ac:dyDescent="0.35">
      <c r="A26" s="145">
        <v>6</v>
      </c>
      <c r="B26" s="118" t="s">
        <v>13</v>
      </c>
      <c r="C26" s="136">
        <v>33</v>
      </c>
      <c r="D26" s="118">
        <v>0</v>
      </c>
      <c r="E26" s="118">
        <v>333</v>
      </c>
      <c r="F26" s="118">
        <v>366</v>
      </c>
      <c r="G26" s="119"/>
      <c r="H26" s="119">
        <v>107.71</v>
      </c>
      <c r="I26" s="119">
        <v>0</v>
      </c>
      <c r="J26" s="119">
        <v>71.88</v>
      </c>
      <c r="K26" s="119">
        <v>75.09</v>
      </c>
      <c r="M26" s="120">
        <v>683.2710699999999</v>
      </c>
      <c r="N26" s="120">
        <v>359.88986999999997</v>
      </c>
      <c r="O26" s="120">
        <v>389.09848999999997</v>
      </c>
      <c r="Q26" s="120">
        <v>6410.34</v>
      </c>
      <c r="R26" s="120">
        <v>5130.45</v>
      </c>
      <c r="S26" s="120">
        <v>5246.05</v>
      </c>
    </row>
    <row r="27" spans="1:21" x14ac:dyDescent="0.35">
      <c r="A27" s="145">
        <v>7</v>
      </c>
      <c r="B27" s="118" t="s">
        <v>14</v>
      </c>
      <c r="C27" s="136">
        <v>89</v>
      </c>
      <c r="D27" s="118">
        <v>0</v>
      </c>
      <c r="E27" s="118">
        <v>458</v>
      </c>
      <c r="F27" s="118">
        <v>547</v>
      </c>
      <c r="G27" s="119"/>
      <c r="H27" s="119">
        <v>117.93</v>
      </c>
      <c r="I27" s="119">
        <v>0</v>
      </c>
      <c r="J27" s="119">
        <v>119.65</v>
      </c>
      <c r="K27" s="119">
        <v>119.39</v>
      </c>
      <c r="M27" s="120">
        <v>917.89026999999999</v>
      </c>
      <c r="N27" s="120">
        <v>809.99931000000004</v>
      </c>
      <c r="O27" s="120">
        <v>826.59792000000004</v>
      </c>
      <c r="Q27" s="120">
        <v>7578.2</v>
      </c>
      <c r="R27" s="120">
        <v>6831.08</v>
      </c>
      <c r="S27" s="120">
        <v>6946.02</v>
      </c>
    </row>
    <row r="28" spans="1:21" x14ac:dyDescent="0.35">
      <c r="A28" s="145">
        <v>8</v>
      </c>
      <c r="B28" s="118" t="s">
        <v>15</v>
      </c>
      <c r="C28" s="136">
        <v>35</v>
      </c>
      <c r="D28" s="118">
        <v>1</v>
      </c>
      <c r="E28" s="118">
        <v>410</v>
      </c>
      <c r="F28" s="118">
        <v>446</v>
      </c>
      <c r="G28" s="119"/>
      <c r="H28" s="119">
        <v>90.95</v>
      </c>
      <c r="I28" s="119">
        <v>0</v>
      </c>
      <c r="J28" s="119">
        <v>98.77</v>
      </c>
      <c r="K28" s="119">
        <v>98.39</v>
      </c>
      <c r="M28" s="120">
        <v>594.42105000000004</v>
      </c>
      <c r="N28" s="120">
        <v>607.37400000000002</v>
      </c>
      <c r="O28" s="120">
        <v>606.73476000000005</v>
      </c>
      <c r="Q28" s="120">
        <v>6357.83</v>
      </c>
      <c r="R28" s="120">
        <v>6205.25</v>
      </c>
      <c r="S28" s="120">
        <v>6212.78</v>
      </c>
    </row>
    <row r="29" spans="1:21" x14ac:dyDescent="0.35">
      <c r="A29" s="145">
        <v>9</v>
      </c>
      <c r="B29" s="118" t="s">
        <v>16</v>
      </c>
      <c r="C29" s="136">
        <v>197</v>
      </c>
      <c r="D29" s="118">
        <v>17</v>
      </c>
      <c r="E29" s="118">
        <v>373</v>
      </c>
      <c r="F29" s="118">
        <v>587</v>
      </c>
      <c r="G29" s="119"/>
      <c r="H29" s="119">
        <v>82.76</v>
      </c>
      <c r="I29" s="119">
        <v>92.87</v>
      </c>
      <c r="J29" s="119">
        <v>78.290000000000006</v>
      </c>
      <c r="K29" s="119">
        <v>80.209999999999994</v>
      </c>
      <c r="M29" s="120">
        <v>463.35972999999996</v>
      </c>
      <c r="N29" s="120">
        <v>413.95400000000001</v>
      </c>
      <c r="O29" s="120">
        <v>432.32546000000002</v>
      </c>
      <c r="Q29" s="120">
        <v>5620.77</v>
      </c>
      <c r="R29" s="120">
        <v>5372.75</v>
      </c>
      <c r="S29" s="120">
        <v>5464.98</v>
      </c>
    </row>
    <row r="30" spans="1:21" x14ac:dyDescent="0.35">
      <c r="A30" s="145">
        <v>10</v>
      </c>
      <c r="B30" s="118" t="s">
        <v>17</v>
      </c>
      <c r="C30" s="136">
        <v>25</v>
      </c>
      <c r="D30" s="118">
        <v>2</v>
      </c>
      <c r="E30" s="118">
        <v>285</v>
      </c>
      <c r="F30" s="118">
        <v>312</v>
      </c>
      <c r="G30" s="119"/>
      <c r="H30" s="119">
        <v>97.9</v>
      </c>
      <c r="I30" s="119">
        <v>86</v>
      </c>
      <c r="J30" s="119">
        <v>81.19</v>
      </c>
      <c r="K30" s="119">
        <v>82.53</v>
      </c>
      <c r="M30" s="120">
        <v>491.25565999999998</v>
      </c>
      <c r="N30" s="120">
        <v>418.90371999999996</v>
      </c>
      <c r="O30" s="120">
        <v>424.90803000000005</v>
      </c>
      <c r="Q30" s="120">
        <v>5226.62</v>
      </c>
      <c r="R30" s="120">
        <v>5282.74</v>
      </c>
      <c r="S30" s="120">
        <v>5278.08</v>
      </c>
    </row>
    <row r="31" spans="1:21" x14ac:dyDescent="0.35">
      <c r="A31" s="145">
        <v>11</v>
      </c>
      <c r="B31" s="118" t="s">
        <v>96</v>
      </c>
      <c r="C31" s="136">
        <v>2</v>
      </c>
      <c r="D31" s="118">
        <v>0</v>
      </c>
      <c r="E31" s="118">
        <v>490</v>
      </c>
      <c r="F31" s="118">
        <v>492</v>
      </c>
      <c r="G31" s="119"/>
      <c r="H31" s="119">
        <v>64</v>
      </c>
      <c r="I31" s="119">
        <v>0</v>
      </c>
      <c r="J31" s="119">
        <v>59.85</v>
      </c>
      <c r="K31" s="119">
        <v>59.87</v>
      </c>
      <c r="M31" s="144" t="s">
        <v>100</v>
      </c>
      <c r="N31" s="120">
        <v>289.02850999999998</v>
      </c>
      <c r="O31" s="120">
        <v>289.89774999999997</v>
      </c>
      <c r="Q31" s="144" t="s">
        <v>100</v>
      </c>
      <c r="R31" s="120">
        <v>4884.07</v>
      </c>
      <c r="S31" s="120">
        <v>4895.82</v>
      </c>
    </row>
    <row r="32" spans="1:21" x14ac:dyDescent="0.35">
      <c r="A32" s="145">
        <v>12</v>
      </c>
      <c r="B32" s="118" t="s">
        <v>97</v>
      </c>
      <c r="C32" s="136">
        <v>35</v>
      </c>
      <c r="D32" s="118">
        <v>8</v>
      </c>
      <c r="E32" s="118">
        <v>14</v>
      </c>
      <c r="F32" s="118">
        <v>57</v>
      </c>
      <c r="G32" s="119"/>
      <c r="H32" s="119">
        <v>72.290000000000006</v>
      </c>
      <c r="I32" s="119">
        <v>65.569999999999993</v>
      </c>
      <c r="J32" s="119">
        <v>78.5</v>
      </c>
      <c r="K32" s="119">
        <v>73</v>
      </c>
      <c r="M32" s="120">
        <v>503.52300000000002</v>
      </c>
      <c r="N32" s="120">
        <v>315.41629999999998</v>
      </c>
      <c r="O32" s="120">
        <v>480.00966</v>
      </c>
      <c r="Q32" s="120">
        <v>6880.6</v>
      </c>
      <c r="R32" s="120">
        <v>3464.7</v>
      </c>
      <c r="S32" s="120">
        <v>6453.61</v>
      </c>
    </row>
    <row r="33" spans="1:19" x14ac:dyDescent="0.35">
      <c r="A33" s="145">
        <v>13</v>
      </c>
      <c r="B33" s="118" t="s">
        <v>18</v>
      </c>
      <c r="C33" s="136">
        <v>5</v>
      </c>
      <c r="D33" s="118">
        <v>0</v>
      </c>
      <c r="E33" s="118">
        <v>259</v>
      </c>
      <c r="F33" s="118">
        <v>264</v>
      </c>
      <c r="G33" s="119"/>
      <c r="H33" s="119">
        <v>60.25</v>
      </c>
      <c r="I33" s="119">
        <v>0</v>
      </c>
      <c r="J33" s="119">
        <v>71.209999999999994</v>
      </c>
      <c r="K33" s="119">
        <v>71.03</v>
      </c>
      <c r="M33" s="120">
        <v>197.75024999999999</v>
      </c>
      <c r="N33" s="120">
        <v>308.14146</v>
      </c>
      <c r="O33" s="120">
        <v>305.84164000000004</v>
      </c>
      <c r="Q33" s="120">
        <v>3371.84</v>
      </c>
      <c r="R33" s="120">
        <v>4355.83</v>
      </c>
      <c r="S33" s="120">
        <v>4335.33</v>
      </c>
    </row>
    <row r="34" spans="1:19" x14ac:dyDescent="0.35">
      <c r="A34" s="145">
        <v>14</v>
      </c>
      <c r="B34" s="118" t="s">
        <v>19</v>
      </c>
      <c r="C34" s="136">
        <v>5</v>
      </c>
      <c r="D34" s="118">
        <v>0</v>
      </c>
      <c r="E34" s="118">
        <v>72</v>
      </c>
      <c r="F34" s="118">
        <v>77</v>
      </c>
      <c r="G34" s="119"/>
      <c r="H34" s="119">
        <v>137</v>
      </c>
      <c r="I34" s="119">
        <v>0</v>
      </c>
      <c r="J34" s="119">
        <v>74.02</v>
      </c>
      <c r="K34" s="119">
        <v>77.67</v>
      </c>
      <c r="M34" s="120">
        <v>564.03250000000003</v>
      </c>
      <c r="N34" s="120">
        <v>297.45090000000005</v>
      </c>
      <c r="O34" s="120">
        <v>312.90490999999997</v>
      </c>
      <c r="Q34" s="120">
        <v>4094.63</v>
      </c>
      <c r="R34" s="120">
        <v>4161.8100000000004</v>
      </c>
      <c r="S34" s="120">
        <v>4157.92</v>
      </c>
    </row>
    <row r="35" spans="1:19" x14ac:dyDescent="0.35">
      <c r="A35" s="145">
        <v>15</v>
      </c>
      <c r="B35" s="118" t="s">
        <v>20</v>
      </c>
      <c r="C35" s="136">
        <v>41</v>
      </c>
      <c r="D35" s="118">
        <v>0</v>
      </c>
      <c r="E35" s="118">
        <v>104</v>
      </c>
      <c r="F35" s="118">
        <v>145</v>
      </c>
      <c r="G35" s="119"/>
      <c r="H35" s="119">
        <v>70.78</v>
      </c>
      <c r="I35" s="119">
        <v>0</v>
      </c>
      <c r="J35" s="119">
        <v>74.11</v>
      </c>
      <c r="K35" s="119">
        <v>73.209999999999994</v>
      </c>
      <c r="M35" s="120">
        <v>292.92513000000002</v>
      </c>
      <c r="N35" s="120">
        <v>305.53946999999999</v>
      </c>
      <c r="O35" s="120">
        <v>302.14738</v>
      </c>
      <c r="Q35" s="120">
        <v>4298.58</v>
      </c>
      <c r="R35" s="120">
        <v>4327.67</v>
      </c>
      <c r="S35" s="120">
        <v>4319.8500000000004</v>
      </c>
    </row>
    <row r="36" spans="1:19" x14ac:dyDescent="0.35">
      <c r="A36" s="145">
        <v>16</v>
      </c>
      <c r="B36" s="118" t="s">
        <v>21</v>
      </c>
      <c r="C36" s="136">
        <v>43</v>
      </c>
      <c r="D36" s="118">
        <v>29</v>
      </c>
      <c r="E36" s="118">
        <v>182</v>
      </c>
      <c r="F36" s="118">
        <v>254</v>
      </c>
      <c r="G36" s="119"/>
      <c r="H36" s="119">
        <v>89.5</v>
      </c>
      <c r="I36" s="119">
        <v>89.15</v>
      </c>
      <c r="J36" s="119">
        <v>71.81</v>
      </c>
      <c r="K36" s="119">
        <v>76.98</v>
      </c>
      <c r="M36" s="120">
        <v>437.62142999999998</v>
      </c>
      <c r="N36" s="120">
        <v>304.99405999999999</v>
      </c>
      <c r="O36" s="120">
        <v>333.7072</v>
      </c>
      <c r="Q36" s="120">
        <v>4968.03</v>
      </c>
      <c r="R36" s="120">
        <v>4325.96</v>
      </c>
      <c r="S36" s="120">
        <v>4464.96</v>
      </c>
    </row>
    <row r="37" spans="1:19" x14ac:dyDescent="0.35">
      <c r="A37" s="145">
        <v>17</v>
      </c>
      <c r="B37" s="118" t="s">
        <v>22</v>
      </c>
      <c r="C37" s="136">
        <v>12</v>
      </c>
      <c r="D37" s="118">
        <v>0</v>
      </c>
      <c r="E37" s="118">
        <v>233</v>
      </c>
      <c r="F37" s="118">
        <v>245</v>
      </c>
      <c r="G37" s="119"/>
      <c r="H37" s="119">
        <v>71.099999999999994</v>
      </c>
      <c r="I37" s="119">
        <v>0</v>
      </c>
      <c r="J37" s="119">
        <v>66.17</v>
      </c>
      <c r="K37" s="119">
        <v>66.39</v>
      </c>
      <c r="M37" s="120">
        <v>384</v>
      </c>
      <c r="N37" s="120">
        <v>279.05480999999997</v>
      </c>
      <c r="O37" s="120">
        <v>284.02852000000001</v>
      </c>
      <c r="Q37" s="120">
        <v>5317.28</v>
      </c>
      <c r="R37" s="120">
        <v>4320.04</v>
      </c>
      <c r="S37" s="120">
        <v>4367.3</v>
      </c>
    </row>
    <row r="38" spans="1:19" x14ac:dyDescent="0.35">
      <c r="A38" s="145">
        <v>18</v>
      </c>
      <c r="B38" s="118" t="s">
        <v>23</v>
      </c>
      <c r="C38" s="136">
        <v>57</v>
      </c>
      <c r="D38" s="118">
        <v>0</v>
      </c>
      <c r="E38" s="118">
        <v>419</v>
      </c>
      <c r="F38" s="118">
        <v>476</v>
      </c>
      <c r="G38" s="119"/>
      <c r="H38" s="119">
        <v>66.87</v>
      </c>
      <c r="I38" s="119">
        <v>0</v>
      </c>
      <c r="J38" s="119">
        <v>66.73</v>
      </c>
      <c r="K38" s="119">
        <v>66.739999999999995</v>
      </c>
      <c r="M38" s="120">
        <v>287.73333000000002</v>
      </c>
      <c r="N38" s="120">
        <v>299.30167</v>
      </c>
      <c r="O38" s="120">
        <v>298.35084999999998</v>
      </c>
      <c r="Q38" s="120">
        <v>4380.82</v>
      </c>
      <c r="R38" s="120">
        <v>4598.34</v>
      </c>
      <c r="S38" s="120">
        <v>4580.46</v>
      </c>
    </row>
    <row r="39" spans="1:19" x14ac:dyDescent="0.35">
      <c r="A39" s="145">
        <v>19</v>
      </c>
      <c r="B39" s="118" t="s">
        <v>24</v>
      </c>
      <c r="C39" s="136">
        <v>7</v>
      </c>
      <c r="D39" s="118">
        <v>0</v>
      </c>
      <c r="E39" s="118">
        <v>342</v>
      </c>
      <c r="F39" s="118">
        <v>349</v>
      </c>
      <c r="G39" s="119"/>
      <c r="H39" s="119">
        <v>82.71</v>
      </c>
      <c r="I39" s="119">
        <v>0</v>
      </c>
      <c r="J39" s="119">
        <v>89.08</v>
      </c>
      <c r="K39" s="119">
        <v>88.94</v>
      </c>
      <c r="M39" s="120">
        <v>482.64285999999998</v>
      </c>
      <c r="N39" s="120">
        <v>524.03782999999999</v>
      </c>
      <c r="O39" s="120">
        <v>523.06218999999999</v>
      </c>
      <c r="Q39" s="120">
        <v>6046.67</v>
      </c>
      <c r="R39" s="120">
        <v>5810.77</v>
      </c>
      <c r="S39" s="120">
        <v>5816.33</v>
      </c>
    </row>
    <row r="40" spans="1:19" x14ac:dyDescent="0.35">
      <c r="A40" s="145">
        <v>20</v>
      </c>
      <c r="B40" s="118" t="s">
        <v>25</v>
      </c>
      <c r="C40" s="136">
        <v>4</v>
      </c>
      <c r="D40" s="118">
        <v>0</v>
      </c>
      <c r="E40" s="118">
        <v>187</v>
      </c>
      <c r="F40" s="118">
        <v>191</v>
      </c>
      <c r="G40" s="119"/>
      <c r="H40" s="119">
        <v>101</v>
      </c>
      <c r="I40" s="119">
        <v>0</v>
      </c>
      <c r="J40" s="119">
        <v>82.33</v>
      </c>
      <c r="K40" s="119">
        <v>82.45</v>
      </c>
      <c r="M40" s="120">
        <v>445</v>
      </c>
      <c r="N40" s="120">
        <v>417.53843000000001</v>
      </c>
      <c r="O40" s="120">
        <v>417.73457999999999</v>
      </c>
      <c r="Q40" s="120">
        <v>4405.9399999999996</v>
      </c>
      <c r="R40" s="120">
        <v>5008.51</v>
      </c>
      <c r="S40" s="120">
        <v>5004.21</v>
      </c>
    </row>
    <row r="41" spans="1:19" x14ac:dyDescent="0.35">
      <c r="A41" s="145">
        <v>21</v>
      </c>
      <c r="B41" s="118" t="s">
        <v>26</v>
      </c>
      <c r="C41" s="136">
        <v>2</v>
      </c>
      <c r="D41" s="118">
        <v>0</v>
      </c>
      <c r="E41" s="118">
        <v>117</v>
      </c>
      <c r="F41" s="118">
        <v>119</v>
      </c>
      <c r="G41" s="119"/>
      <c r="H41" s="119">
        <v>168</v>
      </c>
      <c r="I41" s="119">
        <v>0</v>
      </c>
      <c r="J41" s="119">
        <v>164.3</v>
      </c>
      <c r="K41" s="119">
        <v>164.38</v>
      </c>
      <c r="M41" s="144" t="s">
        <v>100</v>
      </c>
      <c r="N41" s="120">
        <v>1283.3659399999999</v>
      </c>
      <c r="O41" s="120">
        <v>1281.6985400000001</v>
      </c>
      <c r="Q41" s="144" t="s">
        <v>100</v>
      </c>
      <c r="R41" s="120">
        <v>7491.35</v>
      </c>
      <c r="S41" s="120">
        <v>7486.15</v>
      </c>
    </row>
    <row r="42" spans="1:19" x14ac:dyDescent="0.35">
      <c r="A42" s="145">
        <v>22</v>
      </c>
      <c r="B42" s="118" t="s">
        <v>27</v>
      </c>
      <c r="C42" s="136">
        <v>1</v>
      </c>
      <c r="D42" s="118">
        <v>0</v>
      </c>
      <c r="E42" s="118">
        <v>39</v>
      </c>
      <c r="F42" s="118">
        <v>40</v>
      </c>
      <c r="G42" s="119"/>
      <c r="H42" s="119">
        <v>136</v>
      </c>
      <c r="I42" s="119">
        <v>0</v>
      </c>
      <c r="J42" s="119">
        <v>151.28</v>
      </c>
      <c r="K42" s="119">
        <v>150.77000000000001</v>
      </c>
      <c r="M42" s="144" t="s">
        <v>100</v>
      </c>
      <c r="N42" s="120">
        <v>506.30327</v>
      </c>
      <c r="O42" s="120">
        <v>506.08591999999999</v>
      </c>
      <c r="Q42" s="144" t="s">
        <v>100</v>
      </c>
      <c r="R42" s="120">
        <v>4477.1899999999996</v>
      </c>
      <c r="S42" s="120">
        <v>4449.58</v>
      </c>
    </row>
    <row r="43" spans="1:19" x14ac:dyDescent="0.35">
      <c r="A43" s="145">
        <v>23</v>
      </c>
      <c r="B43" s="118" t="s">
        <v>28</v>
      </c>
      <c r="C43" s="136">
        <v>10</v>
      </c>
      <c r="D43" s="118">
        <v>0</v>
      </c>
      <c r="E43" s="118">
        <v>180</v>
      </c>
      <c r="F43" s="118">
        <v>190</v>
      </c>
      <c r="G43" s="119"/>
      <c r="H43" s="119">
        <v>147.25</v>
      </c>
      <c r="I43" s="119">
        <v>0</v>
      </c>
      <c r="J43" s="119">
        <v>108.32</v>
      </c>
      <c r="K43" s="119">
        <v>110.32</v>
      </c>
      <c r="M43" s="120">
        <v>1418.461</v>
      </c>
      <c r="N43" s="120">
        <v>734.08892000000003</v>
      </c>
      <c r="O43" s="120">
        <v>773.76265999999998</v>
      </c>
      <c r="Q43" s="120">
        <v>9310.7000000000007</v>
      </c>
      <c r="R43" s="120">
        <v>6881.96</v>
      </c>
      <c r="S43" s="120">
        <v>7022.76</v>
      </c>
    </row>
    <row r="44" spans="1:19" x14ac:dyDescent="0.35">
      <c r="A44" s="145">
        <v>24</v>
      </c>
      <c r="B44" s="118" t="s">
        <v>29</v>
      </c>
      <c r="C44" s="136">
        <v>4</v>
      </c>
      <c r="D44" s="118">
        <v>0</v>
      </c>
      <c r="E44" s="118">
        <v>138</v>
      </c>
      <c r="F44" s="118">
        <v>142</v>
      </c>
      <c r="G44" s="119"/>
      <c r="H44" s="119">
        <v>161.5</v>
      </c>
      <c r="I44" s="119">
        <v>0</v>
      </c>
      <c r="J44" s="119">
        <v>148.93</v>
      </c>
      <c r="K44" s="119">
        <v>149.34</v>
      </c>
      <c r="M44" s="120">
        <v>561.68393000000003</v>
      </c>
      <c r="N44" s="120">
        <v>1060.1716000000001</v>
      </c>
      <c r="O44" s="120">
        <v>1042.6808000000001</v>
      </c>
      <c r="Q44" s="120">
        <v>3404.69</v>
      </c>
      <c r="R44" s="120">
        <v>7209.31</v>
      </c>
      <c r="S44" s="120">
        <v>7075.81</v>
      </c>
    </row>
    <row r="45" spans="1:19" x14ac:dyDescent="0.35">
      <c r="A45" s="145">
        <v>25</v>
      </c>
      <c r="B45" s="118" t="s">
        <v>30</v>
      </c>
      <c r="C45" s="136">
        <v>10</v>
      </c>
      <c r="D45" s="118">
        <v>0</v>
      </c>
      <c r="E45" s="118">
        <v>219</v>
      </c>
      <c r="F45" s="118">
        <v>229</v>
      </c>
      <c r="G45" s="119"/>
      <c r="H45" s="119">
        <v>109.25</v>
      </c>
      <c r="I45" s="119">
        <v>0</v>
      </c>
      <c r="J45" s="119">
        <v>126.32</v>
      </c>
      <c r="K45" s="119">
        <v>125.63</v>
      </c>
      <c r="M45" s="120">
        <v>466.87511999999998</v>
      </c>
      <c r="N45" s="120">
        <v>799.70358999999996</v>
      </c>
      <c r="O45" s="120">
        <v>785.9787</v>
      </c>
      <c r="Q45" s="120">
        <v>4296.71</v>
      </c>
      <c r="R45" s="120">
        <v>6309.6</v>
      </c>
      <c r="S45" s="120">
        <v>6226.59</v>
      </c>
    </row>
    <row r="46" spans="1:19" x14ac:dyDescent="0.35">
      <c r="A46" s="145">
        <v>26</v>
      </c>
      <c r="B46" s="118" t="s">
        <v>31</v>
      </c>
      <c r="C46" s="136">
        <v>26</v>
      </c>
      <c r="D46" s="118">
        <v>0</v>
      </c>
      <c r="E46" s="118">
        <v>476</v>
      </c>
      <c r="F46" s="118">
        <v>502</v>
      </c>
      <c r="G46" s="119"/>
      <c r="H46" s="119">
        <v>133.16999999999999</v>
      </c>
      <c r="I46" s="119">
        <v>0</v>
      </c>
      <c r="J46" s="119">
        <v>140.69999999999999</v>
      </c>
      <c r="K46" s="119">
        <v>140.38999999999999</v>
      </c>
      <c r="M46" s="120">
        <v>1197.45092</v>
      </c>
      <c r="N46" s="120">
        <v>919.95744999999999</v>
      </c>
      <c r="O46" s="120">
        <v>931.30945999999994</v>
      </c>
      <c r="Q46" s="120">
        <v>8809.65</v>
      </c>
      <c r="R46" s="120">
        <v>6629.13</v>
      </c>
      <c r="S46" s="120">
        <v>6718.33</v>
      </c>
    </row>
    <row r="47" spans="1:19" x14ac:dyDescent="0.35">
      <c r="A47" s="145">
        <v>27</v>
      </c>
      <c r="B47" s="118" t="s">
        <v>32</v>
      </c>
      <c r="C47" s="136">
        <v>19</v>
      </c>
      <c r="D47" s="118">
        <v>0</v>
      </c>
      <c r="E47" s="118">
        <v>251</v>
      </c>
      <c r="F47" s="118">
        <v>270</v>
      </c>
      <c r="G47" s="119"/>
      <c r="H47" s="119">
        <v>96.47</v>
      </c>
      <c r="I47" s="119">
        <v>0</v>
      </c>
      <c r="J47" s="119">
        <v>106.92</v>
      </c>
      <c r="K47" s="119">
        <v>106.14</v>
      </c>
      <c r="M47" s="120">
        <v>436.77315000000004</v>
      </c>
      <c r="N47" s="120">
        <v>610.57396999999992</v>
      </c>
      <c r="O47" s="120">
        <v>597.52172999999993</v>
      </c>
      <c r="Q47" s="120">
        <v>4624.7</v>
      </c>
      <c r="R47" s="120">
        <v>5771.19</v>
      </c>
      <c r="S47" s="120">
        <v>5685.09</v>
      </c>
    </row>
    <row r="48" spans="1:19" x14ac:dyDescent="0.35">
      <c r="A48" s="145">
        <v>28</v>
      </c>
      <c r="B48" s="118" t="s">
        <v>33</v>
      </c>
      <c r="C48" s="136">
        <v>32</v>
      </c>
      <c r="D48" s="118">
        <v>1</v>
      </c>
      <c r="E48" s="118">
        <v>97</v>
      </c>
      <c r="F48" s="118">
        <v>130</v>
      </c>
      <c r="G48" s="119"/>
      <c r="H48" s="119">
        <v>93.67</v>
      </c>
      <c r="I48" s="119">
        <v>64</v>
      </c>
      <c r="J48" s="119">
        <v>82.3</v>
      </c>
      <c r="K48" s="119">
        <v>84.9</v>
      </c>
      <c r="M48" s="120">
        <v>385.81482</v>
      </c>
      <c r="N48" s="120">
        <v>382.65253000000001</v>
      </c>
      <c r="O48" s="120">
        <v>383.47351000000003</v>
      </c>
      <c r="Q48" s="120">
        <v>4134.5</v>
      </c>
      <c r="R48" s="120">
        <v>4949.47</v>
      </c>
      <c r="S48" s="120">
        <v>4737.8900000000003</v>
      </c>
    </row>
    <row r="49" spans="1:19" x14ac:dyDescent="0.35">
      <c r="A49" s="145">
        <v>29</v>
      </c>
      <c r="B49" s="118" t="s">
        <v>34</v>
      </c>
      <c r="C49" s="136">
        <v>11</v>
      </c>
      <c r="D49" s="118">
        <v>1</v>
      </c>
      <c r="E49" s="118">
        <v>49</v>
      </c>
      <c r="F49" s="118">
        <v>61</v>
      </c>
      <c r="G49" s="119"/>
      <c r="H49" s="119">
        <v>56.27</v>
      </c>
      <c r="I49" s="119">
        <v>58</v>
      </c>
      <c r="J49" s="119">
        <v>71.95</v>
      </c>
      <c r="K49" s="119">
        <v>68.430000000000007</v>
      </c>
      <c r="M49" s="120">
        <v>194.90908999999999</v>
      </c>
      <c r="N49" s="120">
        <v>272.96166999999997</v>
      </c>
      <c r="O49" s="120">
        <v>255.7901</v>
      </c>
      <c r="Q49" s="120">
        <v>3430.33</v>
      </c>
      <c r="R49" s="120">
        <v>3770.97</v>
      </c>
      <c r="S49" s="120">
        <v>3696.03</v>
      </c>
    </row>
    <row r="50" spans="1:19" x14ac:dyDescent="0.35">
      <c r="A50" s="145">
        <v>30</v>
      </c>
      <c r="B50" s="118" t="s">
        <v>35</v>
      </c>
      <c r="C50" s="136">
        <v>4</v>
      </c>
      <c r="D50" s="118">
        <v>0</v>
      </c>
      <c r="E50" s="118">
        <v>94</v>
      </c>
      <c r="F50" s="118">
        <v>98</v>
      </c>
      <c r="G50" s="119"/>
      <c r="H50" s="119">
        <v>57</v>
      </c>
      <c r="I50" s="119">
        <v>0</v>
      </c>
      <c r="J50" s="119">
        <v>82.31</v>
      </c>
      <c r="K50" s="119">
        <v>81.16</v>
      </c>
      <c r="M50" s="120">
        <v>274.85000000000002</v>
      </c>
      <c r="N50" s="120">
        <v>384.48217999999997</v>
      </c>
      <c r="O50" s="120">
        <v>379.49890000000005</v>
      </c>
      <c r="Q50" s="120">
        <v>5073.04</v>
      </c>
      <c r="R50" s="120">
        <v>4616.04</v>
      </c>
      <c r="S50" s="120">
        <v>4636.8100000000004</v>
      </c>
    </row>
    <row r="51" spans="1:19" x14ac:dyDescent="0.35">
      <c r="A51" s="145">
        <v>31</v>
      </c>
      <c r="B51" s="118" t="s">
        <v>36</v>
      </c>
      <c r="C51" s="136">
        <v>5</v>
      </c>
      <c r="D51" s="118">
        <v>0</v>
      </c>
      <c r="E51" s="118">
        <v>487</v>
      </c>
      <c r="F51" s="118">
        <v>492</v>
      </c>
      <c r="G51" s="119"/>
      <c r="H51" s="119">
        <v>80</v>
      </c>
      <c r="I51" s="119">
        <v>0</v>
      </c>
      <c r="J51" s="119">
        <v>77.930000000000007</v>
      </c>
      <c r="K51" s="119">
        <v>77.94</v>
      </c>
      <c r="M51" s="120">
        <v>642.50049999999999</v>
      </c>
      <c r="N51" s="120">
        <v>429.70017999999999</v>
      </c>
      <c r="O51" s="120">
        <v>430.64385999999996</v>
      </c>
      <c r="Q51" s="120">
        <v>7793.81</v>
      </c>
      <c r="R51" s="120">
        <v>5584.35</v>
      </c>
      <c r="S51" s="120">
        <v>5594.15</v>
      </c>
    </row>
    <row r="52" spans="1:19" x14ac:dyDescent="0.35">
      <c r="A52" s="145">
        <v>32</v>
      </c>
      <c r="B52" s="118" t="s">
        <v>37</v>
      </c>
      <c r="C52" s="136">
        <v>1</v>
      </c>
      <c r="D52" s="118">
        <v>0</v>
      </c>
      <c r="E52" s="118">
        <v>284</v>
      </c>
      <c r="F52" s="118">
        <v>285</v>
      </c>
      <c r="G52" s="119"/>
      <c r="H52" s="119">
        <v>68</v>
      </c>
      <c r="I52" s="119">
        <v>0</v>
      </c>
      <c r="J52" s="119">
        <v>76.2</v>
      </c>
      <c r="K52" s="119">
        <v>76.17</v>
      </c>
      <c r="M52" s="144" t="s">
        <v>100</v>
      </c>
      <c r="N52" s="120">
        <v>402.48796999999996</v>
      </c>
      <c r="O52" s="120">
        <v>402.39802000000003</v>
      </c>
      <c r="Q52" s="144" t="s">
        <v>100</v>
      </c>
      <c r="R52" s="120">
        <v>5415.42</v>
      </c>
      <c r="S52" s="120">
        <v>5416.11</v>
      </c>
    </row>
    <row r="53" spans="1:19" x14ac:dyDescent="0.35">
      <c r="A53" s="145">
        <v>33</v>
      </c>
      <c r="B53" s="118" t="s">
        <v>38</v>
      </c>
      <c r="C53" s="136">
        <v>1</v>
      </c>
      <c r="D53" s="118">
        <v>0</v>
      </c>
      <c r="E53" s="118">
        <v>207</v>
      </c>
      <c r="F53" s="118">
        <v>208</v>
      </c>
      <c r="G53" s="119"/>
      <c r="H53" s="119">
        <v>59</v>
      </c>
      <c r="I53" s="119">
        <v>0</v>
      </c>
      <c r="J53" s="119">
        <v>71.59</v>
      </c>
      <c r="K53" s="119">
        <v>71.53</v>
      </c>
      <c r="M53" s="144" t="s">
        <v>100</v>
      </c>
      <c r="N53" s="120">
        <v>318.70776000000001</v>
      </c>
      <c r="O53" s="120">
        <v>318.50925999999998</v>
      </c>
      <c r="Q53" s="144" t="s">
        <v>100</v>
      </c>
      <c r="R53" s="120">
        <v>4495.53</v>
      </c>
      <c r="S53" s="120">
        <v>4496.8100000000004</v>
      </c>
    </row>
    <row r="54" spans="1:19" x14ac:dyDescent="0.35">
      <c r="A54" s="145">
        <v>34</v>
      </c>
      <c r="B54" s="118" t="s">
        <v>39</v>
      </c>
      <c r="C54" s="136">
        <v>0</v>
      </c>
      <c r="D54" s="118">
        <v>0</v>
      </c>
      <c r="E54" s="118">
        <v>72</v>
      </c>
      <c r="F54" s="118">
        <v>72</v>
      </c>
      <c r="G54" s="119"/>
      <c r="H54" s="119">
        <v>0</v>
      </c>
      <c r="I54" s="119">
        <v>0</v>
      </c>
      <c r="J54" s="119">
        <v>72.319999999999993</v>
      </c>
      <c r="K54" s="119">
        <v>72.319999999999993</v>
      </c>
      <c r="M54" s="120">
        <v>0</v>
      </c>
      <c r="N54" s="120">
        <v>259.00459999999998</v>
      </c>
      <c r="O54" s="120">
        <v>259.00459999999998</v>
      </c>
      <c r="Q54" s="120">
        <v>0</v>
      </c>
      <c r="R54" s="120">
        <v>3656.8</v>
      </c>
      <c r="S54" s="120">
        <v>3656.8</v>
      </c>
    </row>
    <row r="55" spans="1:19" x14ac:dyDescent="0.35">
      <c r="A55" s="145">
        <v>35</v>
      </c>
      <c r="B55" s="118" t="s">
        <v>40</v>
      </c>
      <c r="C55" s="136">
        <v>36</v>
      </c>
      <c r="D55" s="118">
        <v>0</v>
      </c>
      <c r="E55" s="118">
        <v>300</v>
      </c>
      <c r="F55" s="118">
        <v>336</v>
      </c>
      <c r="G55" s="119"/>
      <c r="H55" s="119">
        <v>73.680000000000007</v>
      </c>
      <c r="I55" s="119">
        <v>0</v>
      </c>
      <c r="J55" s="119">
        <v>71.959999999999994</v>
      </c>
      <c r="K55" s="119">
        <v>72.13</v>
      </c>
      <c r="M55" s="120">
        <v>339.53959000000003</v>
      </c>
      <c r="N55" s="120">
        <v>300.85118999999997</v>
      </c>
      <c r="O55" s="120">
        <v>304.7706</v>
      </c>
      <c r="Q55" s="120">
        <v>4614.6400000000003</v>
      </c>
      <c r="R55" s="120">
        <v>4270.17</v>
      </c>
      <c r="S55" s="120">
        <v>4305.07</v>
      </c>
    </row>
    <row r="56" spans="1:19" x14ac:dyDescent="0.35">
      <c r="A56" s="145">
        <v>36</v>
      </c>
      <c r="B56" s="118" t="s">
        <v>41</v>
      </c>
      <c r="C56" s="136">
        <v>15</v>
      </c>
      <c r="D56" s="118">
        <v>0</v>
      </c>
      <c r="E56" s="118">
        <v>65</v>
      </c>
      <c r="F56" s="118">
        <v>80</v>
      </c>
      <c r="G56" s="119"/>
      <c r="H56" s="119">
        <v>96.23</v>
      </c>
      <c r="I56" s="119">
        <v>0</v>
      </c>
      <c r="J56" s="119">
        <v>85.69</v>
      </c>
      <c r="K56" s="119">
        <v>87.52</v>
      </c>
      <c r="M56" s="120">
        <v>416.76922999999999</v>
      </c>
      <c r="N56" s="120">
        <v>413.26844</v>
      </c>
      <c r="O56" s="120">
        <v>413.88344000000001</v>
      </c>
      <c r="Q56" s="120">
        <v>4845.45</v>
      </c>
      <c r="R56" s="120">
        <v>4799.74</v>
      </c>
      <c r="S56" s="120">
        <v>4807.7700000000004</v>
      </c>
    </row>
    <row r="57" spans="1:19" x14ac:dyDescent="0.35">
      <c r="A57" s="145">
        <v>37</v>
      </c>
      <c r="B57" s="118" t="s">
        <v>42</v>
      </c>
      <c r="C57" s="136">
        <v>62</v>
      </c>
      <c r="D57" s="118">
        <v>2</v>
      </c>
      <c r="E57" s="118">
        <v>286</v>
      </c>
      <c r="F57" s="118">
        <v>350</v>
      </c>
      <c r="G57" s="119"/>
      <c r="H57" s="119">
        <v>60.79</v>
      </c>
      <c r="I57" s="119">
        <v>63</v>
      </c>
      <c r="J57" s="119">
        <v>61.74</v>
      </c>
      <c r="K57" s="119">
        <v>61.58</v>
      </c>
      <c r="M57" s="120">
        <v>199.34448</v>
      </c>
      <c r="N57" s="120">
        <v>185.43683999999999</v>
      </c>
      <c r="O57" s="120">
        <v>187.96549999999999</v>
      </c>
      <c r="Q57" s="120">
        <v>3248.83</v>
      </c>
      <c r="R57" s="120">
        <v>3071.41</v>
      </c>
      <c r="S57" s="120">
        <v>3103.67</v>
      </c>
    </row>
    <row r="58" spans="1:19" x14ac:dyDescent="0.35">
      <c r="A58" s="145">
        <v>38</v>
      </c>
      <c r="B58" s="118" t="s">
        <v>43</v>
      </c>
      <c r="C58" s="136">
        <v>25</v>
      </c>
      <c r="D58" s="118">
        <v>0</v>
      </c>
      <c r="E58" s="118">
        <v>100</v>
      </c>
      <c r="F58" s="118">
        <v>125</v>
      </c>
      <c r="G58" s="119"/>
      <c r="H58" s="119">
        <v>66.569999999999993</v>
      </c>
      <c r="I58" s="119">
        <v>0</v>
      </c>
      <c r="J58" s="119">
        <v>60.64</v>
      </c>
      <c r="K58" s="119">
        <v>61.8</v>
      </c>
      <c r="M58" s="120">
        <v>192.30435</v>
      </c>
      <c r="N58" s="120">
        <v>210.61308</v>
      </c>
      <c r="O58" s="120">
        <v>206.9829</v>
      </c>
      <c r="Q58" s="120">
        <v>3032.41</v>
      </c>
      <c r="R58" s="120">
        <v>3481.87</v>
      </c>
      <c r="S58" s="120">
        <v>3392.75</v>
      </c>
    </row>
    <row r="59" spans="1:19" x14ac:dyDescent="0.35">
      <c r="A59" s="145">
        <v>39</v>
      </c>
      <c r="B59" s="118" t="s">
        <v>44</v>
      </c>
      <c r="C59" s="136">
        <v>16</v>
      </c>
      <c r="D59" s="118">
        <v>0</v>
      </c>
      <c r="E59" s="118">
        <v>46</v>
      </c>
      <c r="F59" s="118">
        <v>62</v>
      </c>
      <c r="G59" s="119"/>
      <c r="H59" s="119">
        <v>62.2</v>
      </c>
      <c r="I59" s="119">
        <v>0</v>
      </c>
      <c r="J59" s="119">
        <v>78.739999999999995</v>
      </c>
      <c r="K59" s="119">
        <v>74.67</v>
      </c>
      <c r="M59" s="120">
        <v>127.53333000000001</v>
      </c>
      <c r="N59" s="120">
        <v>218.31671</v>
      </c>
      <c r="O59" s="120">
        <v>195.23618999999999</v>
      </c>
      <c r="Q59" s="120">
        <v>2039.69</v>
      </c>
      <c r="R59" s="120">
        <v>2840.48</v>
      </c>
      <c r="S59" s="120">
        <v>2636.89</v>
      </c>
    </row>
    <row r="60" spans="1:19" x14ac:dyDescent="0.35">
      <c r="A60" s="145">
        <v>40</v>
      </c>
      <c r="B60" s="118" t="s">
        <v>45</v>
      </c>
      <c r="C60" s="136">
        <v>6</v>
      </c>
      <c r="D60" s="118">
        <v>1</v>
      </c>
      <c r="E60" s="118">
        <v>24</v>
      </c>
      <c r="F60" s="118">
        <v>31</v>
      </c>
      <c r="G60" s="119"/>
      <c r="H60" s="119">
        <v>69.400000000000006</v>
      </c>
      <c r="I60" s="119">
        <v>59</v>
      </c>
      <c r="J60" s="119">
        <v>64.78</v>
      </c>
      <c r="K60" s="119">
        <v>65.38</v>
      </c>
      <c r="M60" s="120">
        <v>186.02</v>
      </c>
      <c r="N60" s="120">
        <v>225.38889</v>
      </c>
      <c r="O60" s="120">
        <v>216.83044000000001</v>
      </c>
      <c r="Q60" s="120">
        <v>2862.66</v>
      </c>
      <c r="R60" s="120">
        <v>3620.68</v>
      </c>
      <c r="S60" s="120">
        <v>3455.89</v>
      </c>
    </row>
    <row r="61" spans="1:19" x14ac:dyDescent="0.35">
      <c r="A61" s="145">
        <v>41</v>
      </c>
      <c r="B61" s="118" t="s">
        <v>46</v>
      </c>
      <c r="C61" s="136">
        <v>2</v>
      </c>
      <c r="D61" s="118">
        <v>1</v>
      </c>
      <c r="E61" s="118">
        <v>19</v>
      </c>
      <c r="F61" s="118">
        <v>22</v>
      </c>
      <c r="G61" s="119"/>
      <c r="H61" s="119">
        <v>49</v>
      </c>
      <c r="I61" s="119">
        <v>64</v>
      </c>
      <c r="J61" s="119">
        <v>60.11</v>
      </c>
      <c r="K61" s="119">
        <v>59.24</v>
      </c>
      <c r="M61" s="120">
        <v>297.5</v>
      </c>
      <c r="N61" s="120">
        <v>299</v>
      </c>
      <c r="O61" s="120">
        <v>298.85000000000002</v>
      </c>
      <c r="Q61" s="120">
        <v>6071.43</v>
      </c>
      <c r="R61" s="120">
        <v>5096.38</v>
      </c>
      <c r="S61" s="120">
        <v>5193.88</v>
      </c>
    </row>
    <row r="62" spans="1:19" x14ac:dyDescent="0.35">
      <c r="A62" s="145">
        <v>42</v>
      </c>
      <c r="B62" s="118" t="s">
        <v>47</v>
      </c>
      <c r="C62" s="136">
        <v>13</v>
      </c>
      <c r="D62" s="118">
        <v>0</v>
      </c>
      <c r="E62" s="118">
        <v>1</v>
      </c>
      <c r="F62" s="118">
        <v>14</v>
      </c>
      <c r="G62" s="119"/>
      <c r="H62" s="119">
        <v>104.58</v>
      </c>
      <c r="I62" s="119">
        <v>0</v>
      </c>
      <c r="J62" s="119">
        <v>112</v>
      </c>
      <c r="K62" s="119">
        <v>105.15</v>
      </c>
      <c r="M62" s="120">
        <v>487.77125000000001</v>
      </c>
      <c r="N62" s="144" t="s">
        <v>100</v>
      </c>
      <c r="O62" s="120">
        <v>493.32731000000001</v>
      </c>
      <c r="Q62" s="120">
        <v>4675.4399999999996</v>
      </c>
      <c r="R62" s="144" t="s">
        <v>100</v>
      </c>
      <c r="S62" s="120">
        <v>4700.41</v>
      </c>
    </row>
    <row r="63" spans="1:19" x14ac:dyDescent="0.35">
      <c r="A63" s="145">
        <v>43</v>
      </c>
      <c r="B63" s="118" t="s">
        <v>48</v>
      </c>
      <c r="C63" s="136">
        <v>70</v>
      </c>
      <c r="D63" s="118">
        <v>3</v>
      </c>
      <c r="E63" s="118">
        <v>157</v>
      </c>
      <c r="F63" s="118">
        <v>230</v>
      </c>
      <c r="G63" s="119"/>
      <c r="H63" s="119">
        <v>73.02</v>
      </c>
      <c r="I63" s="119">
        <v>58.67</v>
      </c>
      <c r="J63" s="119">
        <v>67.34</v>
      </c>
      <c r="K63" s="119">
        <v>68.989999999999995</v>
      </c>
      <c r="M63" s="120">
        <v>249.24169000000001</v>
      </c>
      <c r="N63" s="120">
        <v>279.46315999999996</v>
      </c>
      <c r="O63" s="120">
        <v>269.01425</v>
      </c>
      <c r="Q63" s="120">
        <v>3348.15</v>
      </c>
      <c r="R63" s="120">
        <v>3964.7</v>
      </c>
      <c r="S63" s="120">
        <v>3751.53</v>
      </c>
    </row>
    <row r="64" spans="1:19" x14ac:dyDescent="0.35">
      <c r="A64" s="145">
        <v>44</v>
      </c>
      <c r="B64" s="118" t="s">
        <v>49</v>
      </c>
      <c r="C64" s="136">
        <v>13</v>
      </c>
      <c r="D64" s="118">
        <v>0</v>
      </c>
      <c r="E64" s="118">
        <v>180</v>
      </c>
      <c r="F64" s="118">
        <v>193</v>
      </c>
      <c r="G64" s="119"/>
      <c r="H64" s="119">
        <v>65.42</v>
      </c>
      <c r="I64" s="119">
        <v>0</v>
      </c>
      <c r="J64" s="119">
        <v>72.349999999999994</v>
      </c>
      <c r="K64" s="119">
        <v>71.88</v>
      </c>
      <c r="M64" s="120">
        <v>276.08325000000002</v>
      </c>
      <c r="N64" s="120">
        <v>276.54510999999997</v>
      </c>
      <c r="O64" s="120">
        <v>276.51289000000003</v>
      </c>
      <c r="Q64" s="120">
        <v>4226.1899999999996</v>
      </c>
      <c r="R64" s="120">
        <v>3884.09</v>
      </c>
      <c r="S64" s="120">
        <v>3907.96</v>
      </c>
    </row>
    <row r="65" spans="1:19" x14ac:dyDescent="0.35">
      <c r="A65" s="145">
        <v>45</v>
      </c>
      <c r="B65" s="118" t="s">
        <v>50</v>
      </c>
      <c r="C65" s="136">
        <v>1</v>
      </c>
      <c r="D65" s="118">
        <v>0</v>
      </c>
      <c r="E65" s="118">
        <v>192</v>
      </c>
      <c r="F65" s="118">
        <v>193</v>
      </c>
      <c r="G65" s="119"/>
      <c r="H65" s="119">
        <v>65</v>
      </c>
      <c r="I65" s="119">
        <v>0</v>
      </c>
      <c r="J65" s="119">
        <v>65.38</v>
      </c>
      <c r="K65" s="119">
        <v>65.38</v>
      </c>
      <c r="M65" s="144" t="s">
        <v>100</v>
      </c>
      <c r="N65" s="120">
        <v>233.16866000000002</v>
      </c>
      <c r="O65" s="120">
        <v>233.18010999999998</v>
      </c>
      <c r="Q65" s="144" t="s">
        <v>100</v>
      </c>
      <c r="R65" s="120">
        <v>3585.19</v>
      </c>
      <c r="S65" s="120">
        <v>3585.38</v>
      </c>
    </row>
    <row r="66" spans="1:19" x14ac:dyDescent="0.35">
      <c r="A66" s="145">
        <v>46</v>
      </c>
      <c r="B66" s="118" t="s">
        <v>51</v>
      </c>
      <c r="C66" s="136">
        <v>0</v>
      </c>
      <c r="D66" s="118">
        <v>0</v>
      </c>
      <c r="E66" s="118">
        <v>196</v>
      </c>
      <c r="F66" s="118">
        <v>196</v>
      </c>
      <c r="G66" s="119"/>
      <c r="H66" s="119">
        <v>0</v>
      </c>
      <c r="I66" s="119">
        <v>0</v>
      </c>
      <c r="J66" s="119">
        <v>61.76</v>
      </c>
      <c r="K66" s="119">
        <v>61.76</v>
      </c>
      <c r="M66" s="120">
        <v>0</v>
      </c>
      <c r="N66" s="120">
        <v>183.80044000000001</v>
      </c>
      <c r="O66" s="120">
        <v>183.80044000000001</v>
      </c>
      <c r="Q66" s="120">
        <v>0</v>
      </c>
      <c r="R66" s="120">
        <v>2935.69</v>
      </c>
      <c r="S66" s="120">
        <v>2935.69</v>
      </c>
    </row>
    <row r="67" spans="1:19" x14ac:dyDescent="0.35">
      <c r="A67" s="145">
        <v>47</v>
      </c>
      <c r="B67" s="118" t="s">
        <v>52</v>
      </c>
      <c r="C67" s="136">
        <v>0</v>
      </c>
      <c r="D67" s="118">
        <v>0</v>
      </c>
      <c r="E67" s="118">
        <v>1</v>
      </c>
      <c r="F67" s="118">
        <v>1</v>
      </c>
      <c r="G67" s="119"/>
      <c r="H67" s="119">
        <v>0</v>
      </c>
      <c r="I67" s="119">
        <v>0</v>
      </c>
      <c r="J67" s="119">
        <v>78</v>
      </c>
      <c r="K67" s="119">
        <v>78</v>
      </c>
      <c r="M67" s="120">
        <v>0</v>
      </c>
      <c r="N67" s="144" t="s">
        <v>100</v>
      </c>
      <c r="O67" s="144" t="s">
        <v>100</v>
      </c>
      <c r="Q67" s="120">
        <v>0</v>
      </c>
      <c r="R67" s="144" t="s">
        <v>100</v>
      </c>
      <c r="S67" s="144" t="s">
        <v>100</v>
      </c>
    </row>
    <row r="68" spans="1:19" x14ac:dyDescent="0.35">
      <c r="A68" s="145">
        <v>48</v>
      </c>
      <c r="B68" s="118" t="s">
        <v>53</v>
      </c>
      <c r="C68" s="136">
        <v>0</v>
      </c>
      <c r="D68" s="118">
        <v>0</v>
      </c>
      <c r="E68" s="118">
        <v>113</v>
      </c>
      <c r="F68" s="118">
        <v>113</v>
      </c>
      <c r="G68" s="119"/>
      <c r="H68" s="119">
        <v>0</v>
      </c>
      <c r="I68" s="119">
        <v>0</v>
      </c>
      <c r="J68" s="119">
        <v>74.349999999999994</v>
      </c>
      <c r="K68" s="119">
        <v>74.349999999999994</v>
      </c>
      <c r="M68" s="120">
        <v>0</v>
      </c>
      <c r="N68" s="120">
        <v>235.93232999999998</v>
      </c>
      <c r="O68" s="120">
        <v>235.93232999999998</v>
      </c>
      <c r="Q68" s="120">
        <v>0</v>
      </c>
      <c r="R68" s="120">
        <v>3258.69</v>
      </c>
      <c r="S68" s="120">
        <v>3258.69</v>
      </c>
    </row>
    <row r="69" spans="1:19" x14ac:dyDescent="0.35">
      <c r="A69" s="145">
        <v>49</v>
      </c>
      <c r="B69" s="118" t="s">
        <v>54</v>
      </c>
      <c r="C69" s="136">
        <v>0</v>
      </c>
      <c r="D69" s="118">
        <v>0</v>
      </c>
      <c r="E69" s="118">
        <v>48</v>
      </c>
      <c r="F69" s="118">
        <v>48</v>
      </c>
      <c r="G69" s="119"/>
      <c r="H69" s="119">
        <v>0</v>
      </c>
      <c r="I69" s="119">
        <v>0</v>
      </c>
      <c r="J69" s="119">
        <v>70.47</v>
      </c>
      <c r="K69" s="119">
        <v>70.47</v>
      </c>
      <c r="M69" s="120">
        <v>0</v>
      </c>
      <c r="N69" s="120">
        <v>208.44444000000001</v>
      </c>
      <c r="O69" s="120">
        <v>208.44444000000001</v>
      </c>
      <c r="Q69" s="120">
        <v>0</v>
      </c>
      <c r="R69" s="120">
        <v>3035.41</v>
      </c>
      <c r="S69" s="120">
        <v>3035.41</v>
      </c>
    </row>
    <row r="70" spans="1:19" x14ac:dyDescent="0.35">
      <c r="A70" s="145">
        <v>50</v>
      </c>
      <c r="B70" s="118" t="s">
        <v>55</v>
      </c>
      <c r="C70" s="136">
        <v>1</v>
      </c>
      <c r="D70" s="118">
        <v>0</v>
      </c>
      <c r="E70" s="118">
        <v>234</v>
      </c>
      <c r="F70" s="118">
        <v>235</v>
      </c>
      <c r="G70" s="119"/>
      <c r="H70" s="119">
        <v>220</v>
      </c>
      <c r="I70" s="119">
        <v>0</v>
      </c>
      <c r="J70" s="119">
        <v>58.72</v>
      </c>
      <c r="K70" s="119">
        <v>59.49</v>
      </c>
      <c r="M70" s="144" t="s">
        <v>100</v>
      </c>
      <c r="N70" s="120">
        <v>140.4949</v>
      </c>
      <c r="O70" s="120">
        <v>141.74091000000001</v>
      </c>
      <c r="Q70" s="144" t="s">
        <v>100</v>
      </c>
      <c r="R70" s="120">
        <v>2566.1799999999998</v>
      </c>
      <c r="S70" s="120">
        <v>2556.3000000000002</v>
      </c>
    </row>
    <row r="71" spans="1:19" x14ac:dyDescent="0.35">
      <c r="A71" s="145">
        <v>51</v>
      </c>
      <c r="B71" s="118" t="s">
        <v>56</v>
      </c>
      <c r="C71" s="136">
        <v>1</v>
      </c>
      <c r="D71" s="118">
        <v>0</v>
      </c>
      <c r="E71" s="118">
        <v>158</v>
      </c>
      <c r="F71" s="118">
        <v>159</v>
      </c>
      <c r="G71" s="119"/>
      <c r="H71" s="119">
        <v>68</v>
      </c>
      <c r="I71" s="119">
        <v>0</v>
      </c>
      <c r="J71" s="119">
        <v>56.18</v>
      </c>
      <c r="K71" s="119">
        <v>56.27</v>
      </c>
      <c r="M71" s="144" t="s">
        <v>100</v>
      </c>
      <c r="N71" s="120">
        <v>168.58250000000001</v>
      </c>
      <c r="O71" s="120">
        <v>168.47385999999997</v>
      </c>
      <c r="Q71" s="144" t="s">
        <v>100</v>
      </c>
      <c r="R71" s="120">
        <v>3039.89</v>
      </c>
      <c r="S71" s="120">
        <v>3031.19</v>
      </c>
    </row>
    <row r="72" spans="1:19" x14ac:dyDescent="0.35">
      <c r="A72" s="145">
        <v>52</v>
      </c>
      <c r="B72" s="118" t="s">
        <v>57</v>
      </c>
      <c r="C72" s="136">
        <v>6</v>
      </c>
      <c r="D72" s="118">
        <v>0</v>
      </c>
      <c r="E72" s="118">
        <v>241</v>
      </c>
      <c r="F72" s="118">
        <v>247</v>
      </c>
      <c r="G72" s="119"/>
      <c r="H72" s="119">
        <v>64</v>
      </c>
      <c r="I72" s="119">
        <v>0</v>
      </c>
      <c r="J72" s="119">
        <v>61.12</v>
      </c>
      <c r="K72" s="119">
        <v>61.18</v>
      </c>
      <c r="M72" s="120">
        <v>296.06</v>
      </c>
      <c r="N72" s="120">
        <v>190.2722</v>
      </c>
      <c r="O72" s="120">
        <v>192.72099</v>
      </c>
      <c r="Q72" s="120">
        <v>4621.18</v>
      </c>
      <c r="R72" s="120">
        <v>3163.01</v>
      </c>
      <c r="S72" s="120">
        <v>3196.76</v>
      </c>
    </row>
    <row r="73" spans="1:19" x14ac:dyDescent="0.35">
      <c r="A73" s="145">
        <v>53</v>
      </c>
      <c r="B73" s="118" t="s">
        <v>58</v>
      </c>
      <c r="C73" s="136">
        <v>0</v>
      </c>
      <c r="D73" s="118">
        <v>0</v>
      </c>
      <c r="E73" s="118">
        <v>102</v>
      </c>
      <c r="F73" s="118">
        <v>102</v>
      </c>
      <c r="G73" s="119"/>
      <c r="H73" s="119">
        <v>0</v>
      </c>
      <c r="I73" s="119">
        <v>0</v>
      </c>
      <c r="J73" s="119">
        <v>62.24</v>
      </c>
      <c r="K73" s="119">
        <v>62.24</v>
      </c>
      <c r="M73" s="120">
        <v>0</v>
      </c>
      <c r="N73" s="120">
        <v>148.70124999999999</v>
      </c>
      <c r="O73" s="120">
        <v>148.70124999999999</v>
      </c>
      <c r="Q73" s="120">
        <v>0</v>
      </c>
      <c r="R73" s="120">
        <v>2476.0700000000002</v>
      </c>
      <c r="S73" s="120">
        <v>2476.0700000000002</v>
      </c>
    </row>
    <row r="74" spans="1:19" x14ac:dyDescent="0.35">
      <c r="A74" s="145">
        <v>54</v>
      </c>
      <c r="B74" s="118" t="s">
        <v>59</v>
      </c>
      <c r="C74" s="136">
        <v>0</v>
      </c>
      <c r="D74" s="118">
        <v>0</v>
      </c>
      <c r="E74" s="118">
        <v>20</v>
      </c>
      <c r="F74" s="118">
        <v>20</v>
      </c>
      <c r="G74" s="119"/>
      <c r="H74" s="119">
        <v>0</v>
      </c>
      <c r="I74" s="119">
        <v>0</v>
      </c>
      <c r="J74" s="119">
        <v>95.5</v>
      </c>
      <c r="K74" s="119">
        <v>95.5</v>
      </c>
      <c r="M74" s="120">
        <v>0</v>
      </c>
      <c r="N74" s="120">
        <v>153.62062</v>
      </c>
      <c r="O74" s="120">
        <v>153.62062</v>
      </c>
      <c r="Q74" s="120">
        <v>0</v>
      </c>
      <c r="R74" s="120">
        <v>1920.16</v>
      </c>
      <c r="S74" s="120">
        <v>1920.16</v>
      </c>
    </row>
    <row r="75" spans="1:19" x14ac:dyDescent="0.35">
      <c r="A75" s="145">
        <v>55</v>
      </c>
      <c r="B75" s="118" t="s">
        <v>60</v>
      </c>
      <c r="C75" s="136">
        <v>1</v>
      </c>
      <c r="D75" s="118">
        <v>0</v>
      </c>
      <c r="E75" s="118">
        <v>198</v>
      </c>
      <c r="F75" s="118">
        <v>199</v>
      </c>
      <c r="G75" s="119"/>
      <c r="H75" s="119">
        <v>53</v>
      </c>
      <c r="I75" s="119">
        <v>0</v>
      </c>
      <c r="J75" s="119">
        <v>59.36</v>
      </c>
      <c r="K75" s="119">
        <v>59.32</v>
      </c>
      <c r="M75" s="144" t="s">
        <v>100</v>
      </c>
      <c r="N75" s="120">
        <v>111.97511</v>
      </c>
      <c r="O75" s="120">
        <v>111.73625</v>
      </c>
      <c r="Q75" s="144" t="s">
        <v>100</v>
      </c>
      <c r="R75" s="120">
        <v>1895.99</v>
      </c>
      <c r="S75" s="120">
        <v>1893.84</v>
      </c>
    </row>
    <row r="76" spans="1:19" x14ac:dyDescent="0.35">
      <c r="A76" s="145">
        <v>56</v>
      </c>
      <c r="B76" s="118" t="s">
        <v>78</v>
      </c>
      <c r="C76" s="136">
        <v>0</v>
      </c>
      <c r="D76" s="118">
        <v>0</v>
      </c>
      <c r="E76" s="118">
        <v>10</v>
      </c>
      <c r="F76" s="118">
        <v>10</v>
      </c>
      <c r="G76" s="119"/>
      <c r="H76" s="119">
        <v>0</v>
      </c>
      <c r="I76" s="119">
        <v>0</v>
      </c>
      <c r="J76" s="119">
        <v>76.86</v>
      </c>
      <c r="K76" s="119">
        <v>76.86</v>
      </c>
      <c r="M76" s="120">
        <v>0</v>
      </c>
      <c r="N76" s="120">
        <v>216.875</v>
      </c>
      <c r="O76" s="120">
        <v>216.875</v>
      </c>
      <c r="Q76" s="120">
        <v>0</v>
      </c>
      <c r="R76" s="120">
        <v>2631.03</v>
      </c>
      <c r="S76" s="120">
        <v>2631.03</v>
      </c>
    </row>
    <row r="77" spans="1:19" x14ac:dyDescent="0.35">
      <c r="A77" s="145">
        <v>57</v>
      </c>
      <c r="B77" s="118" t="s">
        <v>61</v>
      </c>
      <c r="C77" s="136">
        <v>3</v>
      </c>
      <c r="D77" s="118">
        <v>0</v>
      </c>
      <c r="E77" s="118">
        <v>153</v>
      </c>
      <c r="F77" s="118">
        <v>156</v>
      </c>
      <c r="G77" s="119"/>
      <c r="H77" s="119">
        <v>165</v>
      </c>
      <c r="I77" s="119">
        <v>0</v>
      </c>
      <c r="J77" s="119">
        <v>61.12</v>
      </c>
      <c r="K77" s="119">
        <v>63.21</v>
      </c>
      <c r="M77" s="120">
        <v>363.33332999999999</v>
      </c>
      <c r="N77" s="120">
        <v>135.8622</v>
      </c>
      <c r="O77" s="120">
        <v>141.23553000000001</v>
      </c>
      <c r="Q77" s="120">
        <v>2440.8000000000002</v>
      </c>
      <c r="R77" s="120">
        <v>2279.17</v>
      </c>
      <c r="S77" s="120">
        <v>2282.9899999999998</v>
      </c>
    </row>
    <row r="78" spans="1:19" x14ac:dyDescent="0.35">
      <c r="A78" s="145">
        <v>58</v>
      </c>
      <c r="B78" s="118" t="s">
        <v>62</v>
      </c>
      <c r="C78" s="136">
        <v>0</v>
      </c>
      <c r="D78" s="118">
        <v>0</v>
      </c>
      <c r="E78" s="118">
        <v>23</v>
      </c>
      <c r="F78" s="118">
        <v>23</v>
      </c>
      <c r="G78" s="119"/>
      <c r="H78" s="119">
        <v>0</v>
      </c>
      <c r="I78" s="119">
        <v>0</v>
      </c>
      <c r="J78" s="119">
        <v>71.86</v>
      </c>
      <c r="K78" s="119">
        <v>71.86</v>
      </c>
      <c r="M78" s="120">
        <v>0</v>
      </c>
      <c r="N78" s="120">
        <v>0</v>
      </c>
      <c r="O78" s="120">
        <v>0</v>
      </c>
      <c r="Q78" s="120">
        <v>0</v>
      </c>
      <c r="R78" s="120">
        <v>0</v>
      </c>
      <c r="S78" s="120">
        <v>0</v>
      </c>
    </row>
    <row r="79" spans="1:19" x14ac:dyDescent="0.35">
      <c r="A79" s="145">
        <v>59</v>
      </c>
      <c r="B79" s="118" t="s">
        <v>63</v>
      </c>
      <c r="C79" s="136">
        <v>11</v>
      </c>
      <c r="D79" s="118">
        <v>0</v>
      </c>
      <c r="E79" s="118">
        <v>153</v>
      </c>
      <c r="F79" s="118">
        <v>164</v>
      </c>
      <c r="G79" s="119"/>
      <c r="H79" s="119">
        <v>88.5</v>
      </c>
      <c r="I79" s="119">
        <v>0</v>
      </c>
      <c r="J79" s="119">
        <v>67.64</v>
      </c>
      <c r="K79" s="119">
        <v>69.069999999999993</v>
      </c>
      <c r="M79" s="120">
        <v>183.95386999999999</v>
      </c>
      <c r="N79" s="120">
        <v>189.30507</v>
      </c>
      <c r="O79" s="120">
        <v>188.89658</v>
      </c>
      <c r="Q79" s="120">
        <v>2086.9899999999998</v>
      </c>
      <c r="R79" s="120">
        <v>2741.87</v>
      </c>
      <c r="S79" s="120">
        <v>2691.88</v>
      </c>
    </row>
    <row r="80" spans="1:19" x14ac:dyDescent="0.35">
      <c r="A80" s="145">
        <v>60</v>
      </c>
      <c r="B80" s="118" t="s">
        <v>64</v>
      </c>
      <c r="C80" s="136">
        <v>26</v>
      </c>
      <c r="D80" s="118">
        <v>6</v>
      </c>
      <c r="E80" s="118">
        <v>433</v>
      </c>
      <c r="F80" s="118">
        <v>465</v>
      </c>
      <c r="G80" s="119"/>
      <c r="H80" s="119">
        <v>73.72</v>
      </c>
      <c r="I80" s="119">
        <v>64.83</v>
      </c>
      <c r="J80" s="119">
        <v>75.81</v>
      </c>
      <c r="K80" s="119">
        <v>75.55</v>
      </c>
      <c r="M80" s="120">
        <v>405.62799999999999</v>
      </c>
      <c r="N80" s="120">
        <v>306.55498999999998</v>
      </c>
      <c r="O80" s="120">
        <v>312.76256999999998</v>
      </c>
      <c r="Q80" s="120">
        <v>5855.4</v>
      </c>
      <c r="R80" s="120">
        <v>4119.7299999999996</v>
      </c>
      <c r="S80" s="120">
        <v>4228.4799999999996</v>
      </c>
    </row>
    <row r="81" spans="1:19" x14ac:dyDescent="0.35">
      <c r="A81" s="145">
        <v>61</v>
      </c>
      <c r="B81" s="118" t="s">
        <v>65</v>
      </c>
      <c r="C81" s="136">
        <v>32</v>
      </c>
      <c r="D81" s="118">
        <v>0</v>
      </c>
      <c r="E81" s="118">
        <v>193</v>
      </c>
      <c r="F81" s="118">
        <v>225</v>
      </c>
      <c r="G81" s="119"/>
      <c r="H81" s="119">
        <v>76.58</v>
      </c>
      <c r="I81" s="119">
        <v>0</v>
      </c>
      <c r="J81" s="119">
        <v>73.09</v>
      </c>
      <c r="K81" s="119">
        <v>73.66</v>
      </c>
      <c r="M81" s="120">
        <v>441.16128999999995</v>
      </c>
      <c r="N81" s="120">
        <v>297.89451000000003</v>
      </c>
      <c r="O81" s="120">
        <v>329.61786999999998</v>
      </c>
      <c r="Q81" s="120">
        <v>5783.02</v>
      </c>
      <c r="R81" s="120">
        <v>4202.05</v>
      </c>
      <c r="S81" s="120">
        <v>4552.12</v>
      </c>
    </row>
    <row r="82" spans="1:19" x14ac:dyDescent="0.35">
      <c r="A82" s="145">
        <v>62</v>
      </c>
      <c r="B82" s="118" t="s">
        <v>66</v>
      </c>
      <c r="C82" s="136">
        <v>8</v>
      </c>
      <c r="D82" s="118">
        <v>0</v>
      </c>
      <c r="E82" s="118">
        <v>121</v>
      </c>
      <c r="F82" s="118">
        <v>129</v>
      </c>
      <c r="G82" s="119"/>
      <c r="H82" s="119">
        <v>99</v>
      </c>
      <c r="I82" s="119">
        <v>0</v>
      </c>
      <c r="J82" s="119">
        <v>73.11</v>
      </c>
      <c r="K82" s="119">
        <v>74.61</v>
      </c>
      <c r="M82" s="120">
        <v>451.63166999999999</v>
      </c>
      <c r="N82" s="120">
        <v>278.89752000000004</v>
      </c>
      <c r="O82" s="120">
        <v>287.90974</v>
      </c>
      <c r="Q82" s="120">
        <v>4821.96</v>
      </c>
      <c r="R82" s="120">
        <v>3852.92</v>
      </c>
      <c r="S82" s="120">
        <v>3903.48</v>
      </c>
    </row>
    <row r="83" spans="1:19" x14ac:dyDescent="0.35">
      <c r="A83" s="145">
        <v>63</v>
      </c>
      <c r="B83" s="117" t="s">
        <v>67</v>
      </c>
      <c r="C83" s="136">
        <v>2</v>
      </c>
      <c r="D83" s="118">
        <v>0</v>
      </c>
      <c r="E83" s="118">
        <v>142</v>
      </c>
      <c r="F83" s="118">
        <v>144</v>
      </c>
      <c r="G83" s="119"/>
      <c r="H83" s="119">
        <v>80</v>
      </c>
      <c r="I83" s="119">
        <v>0</v>
      </c>
      <c r="J83" s="119">
        <v>73.47</v>
      </c>
      <c r="K83" s="119">
        <v>73.52</v>
      </c>
      <c r="M83" s="144" t="s">
        <v>100</v>
      </c>
      <c r="N83" s="120">
        <v>307.11309999999997</v>
      </c>
      <c r="O83" s="120">
        <v>308.99549999999999</v>
      </c>
      <c r="Q83" s="144" t="s">
        <v>100</v>
      </c>
      <c r="R83" s="120">
        <v>4334.47</v>
      </c>
      <c r="S83" s="120">
        <v>4353.1899999999996</v>
      </c>
    </row>
    <row r="84" spans="1:19" x14ac:dyDescent="0.35">
      <c r="A84" s="145">
        <v>64</v>
      </c>
      <c r="B84" s="117" t="s">
        <v>68</v>
      </c>
      <c r="C84" s="136">
        <v>0</v>
      </c>
      <c r="D84" s="118">
        <v>0</v>
      </c>
      <c r="E84" s="118">
        <v>273</v>
      </c>
      <c r="F84" s="118">
        <v>273</v>
      </c>
      <c r="G84" s="119"/>
      <c r="H84" s="119">
        <v>0</v>
      </c>
      <c r="I84" s="119">
        <v>0</v>
      </c>
      <c r="J84" s="119">
        <v>71.87</v>
      </c>
      <c r="K84" s="119">
        <v>71.87</v>
      </c>
      <c r="M84" s="120">
        <v>0</v>
      </c>
      <c r="N84" s="120">
        <v>320.63862</v>
      </c>
      <c r="O84" s="120">
        <v>320.63862</v>
      </c>
      <c r="Q84" s="120">
        <v>0</v>
      </c>
      <c r="R84" s="120">
        <v>4644.6099999999997</v>
      </c>
      <c r="S84" s="120">
        <v>4644.6099999999997</v>
      </c>
    </row>
    <row r="85" spans="1:19" x14ac:dyDescent="0.35">
      <c r="A85" s="145">
        <v>65</v>
      </c>
      <c r="B85" s="117" t="s">
        <v>69</v>
      </c>
      <c r="C85" s="136">
        <v>6</v>
      </c>
      <c r="D85" s="118">
        <v>0</v>
      </c>
      <c r="E85" s="118">
        <v>190</v>
      </c>
      <c r="F85" s="118">
        <v>196</v>
      </c>
      <c r="G85" s="119"/>
      <c r="H85" s="119">
        <v>42</v>
      </c>
      <c r="I85" s="119">
        <v>0</v>
      </c>
      <c r="J85" s="119">
        <v>72.77</v>
      </c>
      <c r="K85" s="119">
        <v>72.06</v>
      </c>
      <c r="M85" s="120">
        <v>196.375</v>
      </c>
      <c r="N85" s="120">
        <v>331.94326000000001</v>
      </c>
      <c r="O85" s="120">
        <v>327.60508000000004</v>
      </c>
      <c r="Q85" s="120">
        <v>4945.42</v>
      </c>
      <c r="R85" s="120">
        <v>4629.13</v>
      </c>
      <c r="S85" s="120">
        <v>4639.25</v>
      </c>
    </row>
    <row r="86" spans="1:19" x14ac:dyDescent="0.35">
      <c r="A86" s="145">
        <v>66</v>
      </c>
      <c r="B86" s="117" t="s">
        <v>70</v>
      </c>
      <c r="C86" s="136">
        <v>2</v>
      </c>
      <c r="D86" s="118">
        <v>1</v>
      </c>
      <c r="E86" s="118">
        <v>112</v>
      </c>
      <c r="F86" s="118">
        <v>115</v>
      </c>
      <c r="G86" s="119"/>
      <c r="H86" s="119">
        <v>67</v>
      </c>
      <c r="I86" s="119">
        <v>63</v>
      </c>
      <c r="J86" s="119">
        <v>73.5</v>
      </c>
      <c r="K86" s="119">
        <v>73.290000000000006</v>
      </c>
      <c r="M86" s="120">
        <v>682</v>
      </c>
      <c r="N86" s="120">
        <v>377.37963000000002</v>
      </c>
      <c r="O86" s="120">
        <v>382.91818000000001</v>
      </c>
      <c r="Q86" s="120">
        <v>10259.799999999999</v>
      </c>
      <c r="R86" s="120">
        <v>5192.32</v>
      </c>
      <c r="S86" s="120">
        <v>5284.46</v>
      </c>
    </row>
    <row r="87" spans="1:19" x14ac:dyDescent="0.35">
      <c r="A87" s="145">
        <v>67</v>
      </c>
      <c r="B87" s="117" t="s">
        <v>71</v>
      </c>
      <c r="C87" s="136">
        <v>3</v>
      </c>
      <c r="D87" s="118">
        <v>0</v>
      </c>
      <c r="E87" s="118">
        <v>67</v>
      </c>
      <c r="F87" s="118">
        <v>70</v>
      </c>
      <c r="G87" s="119"/>
      <c r="H87" s="119">
        <v>57.67</v>
      </c>
      <c r="I87" s="119">
        <v>0</v>
      </c>
      <c r="J87" s="119">
        <v>89.51</v>
      </c>
      <c r="K87" s="119">
        <v>88.11</v>
      </c>
      <c r="M87" s="120">
        <v>425.06666999999999</v>
      </c>
      <c r="N87" s="120">
        <v>526.95485999999994</v>
      </c>
      <c r="O87" s="120">
        <v>522.45979</v>
      </c>
      <c r="Q87" s="120">
        <v>7433.26</v>
      </c>
      <c r="R87" s="120">
        <v>5970.46</v>
      </c>
      <c r="S87" s="120">
        <v>6035</v>
      </c>
    </row>
    <row r="88" spans="1:19" x14ac:dyDescent="0.35">
      <c r="A88" s="145">
        <v>68</v>
      </c>
      <c r="B88" s="117" t="s">
        <v>72</v>
      </c>
      <c r="C88" s="136">
        <v>51</v>
      </c>
      <c r="D88" s="118">
        <v>1</v>
      </c>
      <c r="E88" s="118">
        <v>285</v>
      </c>
      <c r="F88" s="118">
        <v>337</v>
      </c>
      <c r="G88" s="119"/>
      <c r="H88" s="119">
        <v>81.900000000000006</v>
      </c>
      <c r="I88" s="119">
        <v>83</v>
      </c>
      <c r="J88" s="119">
        <v>71.47</v>
      </c>
      <c r="K88" s="119">
        <v>73.16</v>
      </c>
      <c r="M88" s="120">
        <v>517.97440999999992</v>
      </c>
      <c r="N88" s="120">
        <v>418.03982000000002</v>
      </c>
      <c r="O88" s="120">
        <v>434.53388000000001</v>
      </c>
      <c r="Q88" s="120">
        <v>6469.52</v>
      </c>
      <c r="R88" s="120">
        <v>5910.83</v>
      </c>
      <c r="S88" s="120">
        <v>6003.04</v>
      </c>
    </row>
    <row r="89" spans="1:19" x14ac:dyDescent="0.35">
      <c r="A89" s="145">
        <v>69</v>
      </c>
      <c r="B89" s="117" t="s">
        <v>73</v>
      </c>
      <c r="C89" s="136">
        <v>55</v>
      </c>
      <c r="D89" s="118">
        <v>7</v>
      </c>
      <c r="E89" s="118">
        <v>143</v>
      </c>
      <c r="F89" s="118">
        <v>205</v>
      </c>
      <c r="G89" s="119"/>
      <c r="H89" s="119">
        <v>65.650000000000006</v>
      </c>
      <c r="I89" s="119">
        <v>70.5</v>
      </c>
      <c r="J89" s="119">
        <v>97.71</v>
      </c>
      <c r="K89" s="119">
        <v>88.39</v>
      </c>
      <c r="M89" s="120">
        <v>434.02451000000002</v>
      </c>
      <c r="N89" s="120">
        <v>618.20773999999994</v>
      </c>
      <c r="O89" s="120">
        <v>563.59527000000003</v>
      </c>
      <c r="Q89" s="120">
        <v>6583.49</v>
      </c>
      <c r="R89" s="120">
        <v>6072.96</v>
      </c>
      <c r="S89" s="120">
        <v>6224.34</v>
      </c>
    </row>
    <row r="90" spans="1:19" x14ac:dyDescent="0.35">
      <c r="A90" s="145">
        <v>70</v>
      </c>
      <c r="B90" s="117" t="s">
        <v>74</v>
      </c>
      <c r="C90" s="136">
        <v>11</v>
      </c>
      <c r="D90" s="118">
        <v>5</v>
      </c>
      <c r="E90" s="118">
        <v>293</v>
      </c>
      <c r="F90" s="118">
        <v>309</v>
      </c>
      <c r="G90" s="119"/>
      <c r="H90" s="119">
        <v>93.78</v>
      </c>
      <c r="I90" s="119">
        <v>70.599999999999994</v>
      </c>
      <c r="J90" s="119">
        <v>61.88</v>
      </c>
      <c r="K90" s="119">
        <v>63.12</v>
      </c>
      <c r="M90" s="120">
        <v>492.88889</v>
      </c>
      <c r="N90" s="120">
        <v>184.11063000000001</v>
      </c>
      <c r="O90" s="120">
        <v>195.98671999999999</v>
      </c>
      <c r="Q90" s="120">
        <v>4326.95</v>
      </c>
      <c r="R90" s="120">
        <v>2724.83</v>
      </c>
      <c r="S90" s="120">
        <v>2786.45</v>
      </c>
    </row>
    <row r="91" spans="1:19" x14ac:dyDescent="0.35">
      <c r="A91" s="145">
        <v>71</v>
      </c>
      <c r="B91" s="117" t="s">
        <v>75</v>
      </c>
      <c r="C91" s="136">
        <v>42</v>
      </c>
      <c r="D91" s="118">
        <v>11</v>
      </c>
      <c r="E91" s="118">
        <v>150</v>
      </c>
      <c r="F91" s="118">
        <v>203</v>
      </c>
      <c r="G91" s="119"/>
      <c r="H91" s="119">
        <v>79.95</v>
      </c>
      <c r="I91" s="119">
        <v>75.900000000000006</v>
      </c>
      <c r="J91" s="119">
        <v>78.5</v>
      </c>
      <c r="K91" s="119">
        <v>78.66</v>
      </c>
      <c r="M91" s="120">
        <v>497.16763000000003</v>
      </c>
      <c r="N91" s="120">
        <v>376.90003000000002</v>
      </c>
      <c r="O91" s="120">
        <v>406.39963</v>
      </c>
      <c r="Q91" s="120">
        <v>5799.3</v>
      </c>
      <c r="R91" s="120">
        <v>4807.24</v>
      </c>
      <c r="S91" s="120">
        <v>5050.58</v>
      </c>
    </row>
    <row r="92" spans="1:19" x14ac:dyDescent="0.35">
      <c r="A92" s="145">
        <v>72</v>
      </c>
      <c r="B92" s="117" t="s">
        <v>76</v>
      </c>
      <c r="C92" s="136">
        <v>0</v>
      </c>
      <c r="D92" s="118">
        <v>0</v>
      </c>
      <c r="E92" s="118">
        <v>212</v>
      </c>
      <c r="F92" s="118">
        <v>212</v>
      </c>
      <c r="G92" s="119"/>
      <c r="H92" s="119">
        <v>0</v>
      </c>
      <c r="I92" s="119">
        <v>0</v>
      </c>
      <c r="J92" s="119">
        <v>71.819999999999993</v>
      </c>
      <c r="K92" s="119">
        <v>71.819999999999993</v>
      </c>
      <c r="M92" s="120">
        <v>0</v>
      </c>
      <c r="N92" s="120">
        <v>248.96081000000001</v>
      </c>
      <c r="O92" s="120">
        <v>248.96081000000001</v>
      </c>
      <c r="Q92" s="120">
        <v>0</v>
      </c>
      <c r="R92" s="120">
        <v>3541.78</v>
      </c>
      <c r="S92" s="120">
        <v>3541.78</v>
      </c>
    </row>
    <row r="93" spans="1:19" x14ac:dyDescent="0.35">
      <c r="A93" s="145">
        <v>73</v>
      </c>
      <c r="B93" s="146" t="s">
        <v>77</v>
      </c>
      <c r="C93" s="147">
        <v>2</v>
      </c>
      <c r="D93" s="148">
        <v>0</v>
      </c>
      <c r="E93" s="148">
        <v>324</v>
      </c>
      <c r="F93" s="148">
        <v>326</v>
      </c>
      <c r="G93" s="149"/>
      <c r="H93" s="149">
        <v>86.5</v>
      </c>
      <c r="I93" s="149">
        <v>0</v>
      </c>
      <c r="J93" s="149">
        <v>71.650000000000006</v>
      </c>
      <c r="K93" s="149">
        <v>71.75</v>
      </c>
      <c r="L93" s="149"/>
      <c r="M93" s="150" t="s">
        <v>100</v>
      </c>
      <c r="N93" s="151">
        <v>280.19072</v>
      </c>
      <c r="O93" s="151">
        <v>281.9058</v>
      </c>
      <c r="P93" s="151"/>
      <c r="Q93" s="150" t="s">
        <v>100</v>
      </c>
      <c r="R93" s="151">
        <v>3967.39</v>
      </c>
      <c r="S93" s="151">
        <v>3981.23</v>
      </c>
    </row>
    <row r="95" spans="1:19" x14ac:dyDescent="0.35">
      <c r="B95" s="152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2E61-8417-45A9-A07E-08315B713B3B}">
  <dimension ref="A1:U95"/>
  <sheetViews>
    <sheetView workbookViewId="0"/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6" customWidth="1"/>
    <col min="8" max="8" width="10.73046875" style="1" customWidth="1"/>
    <col min="9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20" width="10.73046875" style="34" customWidth="1"/>
    <col min="21" max="16384" width="11.3984375" style="1"/>
  </cols>
  <sheetData>
    <row r="1" spans="1:21" ht="13.9" x14ac:dyDescent="0.4">
      <c r="A1" s="2" t="s">
        <v>91</v>
      </c>
    </row>
    <row r="2" spans="1:21" ht="13.15" x14ac:dyDescent="0.4">
      <c r="A2" s="31" t="s">
        <v>101</v>
      </c>
    </row>
    <row r="4" spans="1:21" ht="13.9" x14ac:dyDescent="0.35">
      <c r="C4" s="12" t="s">
        <v>4</v>
      </c>
      <c r="D4" s="13"/>
      <c r="E4" s="13"/>
      <c r="F4" s="13"/>
      <c r="G4" s="100"/>
      <c r="H4" s="8" t="s">
        <v>92</v>
      </c>
      <c r="I4" s="9"/>
      <c r="J4" s="9"/>
      <c r="K4" s="9"/>
      <c r="L4" s="101"/>
      <c r="M4" s="53" t="s">
        <v>6</v>
      </c>
      <c r="N4" s="53"/>
      <c r="O4" s="53"/>
      <c r="P4" s="102"/>
      <c r="Q4" s="53" t="s">
        <v>7</v>
      </c>
      <c r="R4" s="53"/>
      <c r="S4" s="53"/>
      <c r="T4" s="1"/>
    </row>
    <row r="5" spans="1:21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14"/>
      <c r="H5" s="10" t="s">
        <v>0</v>
      </c>
      <c r="I5" s="10" t="s">
        <v>1</v>
      </c>
      <c r="J5" s="10" t="s">
        <v>2</v>
      </c>
      <c r="K5" s="10" t="s">
        <v>3</v>
      </c>
      <c r="L5" s="10"/>
      <c r="M5" s="54" t="s">
        <v>5</v>
      </c>
      <c r="N5" s="54" t="s">
        <v>2</v>
      </c>
      <c r="O5" s="54" t="s">
        <v>3</v>
      </c>
      <c r="P5" s="54"/>
      <c r="Q5" s="54" t="s">
        <v>5</v>
      </c>
      <c r="R5" s="54" t="s">
        <v>2</v>
      </c>
      <c r="S5" s="54" t="s">
        <v>3</v>
      </c>
    </row>
    <row r="6" spans="1:21" s="3" customFormat="1" x14ac:dyDescent="0.35">
      <c r="B6" s="103" t="s">
        <v>94</v>
      </c>
      <c r="C6" s="6">
        <v>298</v>
      </c>
      <c r="D6" s="6">
        <v>41</v>
      </c>
      <c r="E6" s="6">
        <v>3598</v>
      </c>
      <c r="F6" s="6">
        <v>3937</v>
      </c>
      <c r="G6" s="1"/>
      <c r="H6" s="7">
        <v>85.63</v>
      </c>
      <c r="I6" s="7">
        <v>85.73</v>
      </c>
      <c r="J6" s="7">
        <v>77.55</v>
      </c>
      <c r="K6" s="7">
        <v>78.260000000000005</v>
      </c>
      <c r="L6" s="7"/>
      <c r="M6" s="34">
        <v>460.04353000000003</v>
      </c>
      <c r="N6" s="34">
        <v>396.40134</v>
      </c>
      <c r="O6" s="34">
        <v>401.82271000000003</v>
      </c>
      <c r="P6" s="34"/>
      <c r="Q6" s="34">
        <v>5196.45</v>
      </c>
      <c r="R6" s="34">
        <v>4937.01</v>
      </c>
      <c r="S6" s="34">
        <v>4959.1099999999997</v>
      </c>
      <c r="T6" s="34"/>
      <c r="U6" s="34"/>
    </row>
    <row r="7" spans="1:21" s="3" customFormat="1" x14ac:dyDescent="0.35">
      <c r="C7" s="38"/>
      <c r="D7" s="38"/>
      <c r="E7" s="104"/>
      <c r="F7" s="38"/>
      <c r="G7" s="105"/>
      <c r="H7" s="105"/>
      <c r="I7" s="105"/>
      <c r="J7" s="105"/>
      <c r="K7" s="106"/>
      <c r="L7" s="106"/>
      <c r="M7" s="34"/>
      <c r="N7" s="34"/>
      <c r="O7" s="34"/>
      <c r="P7" s="107"/>
      <c r="Q7" s="108"/>
      <c r="R7" s="107"/>
      <c r="S7" s="107"/>
      <c r="T7" s="107"/>
    </row>
    <row r="8" spans="1:21" x14ac:dyDescent="0.35">
      <c r="B8" s="109" t="s">
        <v>88</v>
      </c>
      <c r="C8" s="110"/>
      <c r="D8" s="110"/>
      <c r="E8" s="110"/>
      <c r="G8" s="1"/>
      <c r="H8" s="111"/>
      <c r="I8" s="111"/>
      <c r="J8" s="111"/>
      <c r="K8" s="111"/>
      <c r="L8" s="111"/>
      <c r="P8" s="59"/>
      <c r="Q8" s="59"/>
      <c r="R8" s="59"/>
      <c r="S8" s="59"/>
    </row>
    <row r="9" spans="1:21" s="3" customFormat="1" x14ac:dyDescent="0.35">
      <c r="A9" s="112">
        <v>1</v>
      </c>
      <c r="B9" s="3" t="s">
        <v>79</v>
      </c>
      <c r="C9" s="38">
        <v>18</v>
      </c>
      <c r="D9" s="38">
        <v>0</v>
      </c>
      <c r="E9" s="38">
        <v>333</v>
      </c>
      <c r="F9" s="104">
        <v>351</v>
      </c>
      <c r="H9" s="105">
        <v>61.24</v>
      </c>
      <c r="I9" s="105">
        <v>0</v>
      </c>
      <c r="J9" s="105">
        <v>67.02</v>
      </c>
      <c r="K9" s="105">
        <v>66.67</v>
      </c>
      <c r="L9" s="105"/>
      <c r="M9" s="34">
        <v>287.26471000000004</v>
      </c>
      <c r="N9" s="34">
        <v>287.02115999999995</v>
      </c>
      <c r="O9" s="34">
        <v>287.03590000000003</v>
      </c>
      <c r="P9" s="107"/>
      <c r="Q9" s="107">
        <v>4685.3</v>
      </c>
      <c r="R9" s="107">
        <v>4589.13</v>
      </c>
      <c r="S9" s="107">
        <v>4594.95</v>
      </c>
      <c r="T9" s="108"/>
    </row>
    <row r="10" spans="1:21" s="3" customFormat="1" x14ac:dyDescent="0.35">
      <c r="A10" s="112">
        <v>2</v>
      </c>
      <c r="B10" s="3" t="s">
        <v>80</v>
      </c>
      <c r="C10" s="38">
        <v>89</v>
      </c>
      <c r="D10" s="38">
        <v>4</v>
      </c>
      <c r="E10" s="38">
        <v>510</v>
      </c>
      <c r="F10" s="104">
        <v>603</v>
      </c>
      <c r="H10" s="105">
        <v>96.17</v>
      </c>
      <c r="I10" s="105">
        <v>88.75</v>
      </c>
      <c r="J10" s="105">
        <v>88.66</v>
      </c>
      <c r="K10" s="105">
        <v>89.77</v>
      </c>
      <c r="L10" s="105"/>
      <c r="M10" s="34">
        <v>570.80178000000001</v>
      </c>
      <c r="N10" s="34">
        <v>548.34256999999991</v>
      </c>
      <c r="O10" s="34">
        <v>551.77697999999998</v>
      </c>
      <c r="P10" s="107"/>
      <c r="Q10" s="107">
        <v>5782.75</v>
      </c>
      <c r="R10" s="107">
        <v>6142.82</v>
      </c>
      <c r="S10" s="107">
        <v>6087.76</v>
      </c>
      <c r="T10" s="108"/>
    </row>
    <row r="11" spans="1:21" s="3" customFormat="1" x14ac:dyDescent="0.35">
      <c r="A11" s="112">
        <v>3</v>
      </c>
      <c r="B11" s="3" t="s">
        <v>81</v>
      </c>
      <c r="C11" s="38">
        <v>70</v>
      </c>
      <c r="D11" s="38">
        <v>29</v>
      </c>
      <c r="E11" s="38">
        <v>467</v>
      </c>
      <c r="F11" s="104">
        <v>566</v>
      </c>
      <c r="H11" s="105">
        <v>88.57</v>
      </c>
      <c r="I11" s="105">
        <v>89.15</v>
      </c>
      <c r="J11" s="105">
        <v>68.400000000000006</v>
      </c>
      <c r="K11" s="105">
        <v>72.23</v>
      </c>
      <c r="L11" s="105"/>
      <c r="M11" s="34">
        <v>440.82499999999999</v>
      </c>
      <c r="N11" s="34">
        <v>321.83053000000001</v>
      </c>
      <c r="O11" s="34">
        <v>339.59090000000003</v>
      </c>
      <c r="P11" s="107"/>
      <c r="Q11" s="107">
        <v>5050.3500000000004</v>
      </c>
      <c r="R11" s="107">
        <v>4876.78</v>
      </c>
      <c r="S11" s="107">
        <v>4902.6899999999996</v>
      </c>
      <c r="T11" s="108"/>
    </row>
    <row r="12" spans="1:21" s="3" customFormat="1" x14ac:dyDescent="0.35">
      <c r="A12" s="112">
        <v>4</v>
      </c>
      <c r="B12" s="3" t="s">
        <v>82</v>
      </c>
      <c r="C12" s="38">
        <v>1</v>
      </c>
      <c r="D12" s="38">
        <v>0</v>
      </c>
      <c r="E12" s="38">
        <v>141</v>
      </c>
      <c r="F12" s="104">
        <v>142</v>
      </c>
      <c r="H12" s="105">
        <v>77</v>
      </c>
      <c r="I12" s="105">
        <v>0</v>
      </c>
      <c r="J12" s="105">
        <v>98.2</v>
      </c>
      <c r="K12" s="105">
        <v>98.03</v>
      </c>
      <c r="L12" s="105"/>
      <c r="M12" s="59" t="s">
        <v>100</v>
      </c>
      <c r="N12" s="34">
        <v>665.97510999999997</v>
      </c>
      <c r="O12" s="34">
        <v>664.36212999999998</v>
      </c>
      <c r="P12" s="107"/>
      <c r="Q12" s="107" t="s">
        <v>100</v>
      </c>
      <c r="R12" s="107">
        <v>6094.42</v>
      </c>
      <c r="S12" s="107">
        <v>6097.57</v>
      </c>
      <c r="T12" s="108"/>
    </row>
    <row r="13" spans="1:21" s="3" customFormat="1" x14ac:dyDescent="0.35">
      <c r="A13" s="112">
        <v>5</v>
      </c>
      <c r="B13" s="3" t="s">
        <v>83</v>
      </c>
      <c r="C13" s="38">
        <v>15</v>
      </c>
      <c r="D13" s="38">
        <v>0</v>
      </c>
      <c r="E13" s="38">
        <v>286</v>
      </c>
      <c r="F13" s="104">
        <v>301</v>
      </c>
      <c r="H13" s="105">
        <v>117.4</v>
      </c>
      <c r="I13" s="105">
        <v>0</v>
      </c>
      <c r="J13" s="105">
        <v>124.07</v>
      </c>
      <c r="K13" s="105">
        <v>123.79</v>
      </c>
      <c r="L13" s="105"/>
      <c r="M13" s="34">
        <v>752.0711</v>
      </c>
      <c r="N13" s="34">
        <v>765.39036999999996</v>
      </c>
      <c r="O13" s="34">
        <v>764.83073000000002</v>
      </c>
      <c r="P13" s="107"/>
      <c r="Q13" s="107">
        <v>5947.74</v>
      </c>
      <c r="R13" s="107">
        <v>6422</v>
      </c>
      <c r="S13" s="107">
        <v>6402.07</v>
      </c>
      <c r="T13" s="108"/>
    </row>
    <row r="14" spans="1:21" s="3" customFormat="1" x14ac:dyDescent="0.35">
      <c r="A14" s="112">
        <v>6</v>
      </c>
      <c r="B14" s="3" t="s">
        <v>84</v>
      </c>
      <c r="C14" s="38">
        <v>15</v>
      </c>
      <c r="D14" s="38">
        <v>0</v>
      </c>
      <c r="E14" s="38">
        <v>251</v>
      </c>
      <c r="F14" s="104">
        <v>266</v>
      </c>
      <c r="H14" s="105">
        <v>95.62</v>
      </c>
      <c r="I14" s="105">
        <v>0</v>
      </c>
      <c r="J14" s="105">
        <v>76.61</v>
      </c>
      <c r="K14" s="105">
        <v>77.680000000000007</v>
      </c>
      <c r="L14" s="105"/>
      <c r="M14" s="34">
        <v>476.56923</v>
      </c>
      <c r="N14" s="34">
        <v>415.90483</v>
      </c>
      <c r="O14" s="34">
        <v>419.42553000000004</v>
      </c>
      <c r="P14" s="107"/>
      <c r="Q14" s="107">
        <v>4728.7</v>
      </c>
      <c r="R14" s="107">
        <v>5523.52</v>
      </c>
      <c r="S14" s="107">
        <v>5477.39</v>
      </c>
      <c r="T14" s="108"/>
    </row>
    <row r="15" spans="1:21" s="3" customFormat="1" x14ac:dyDescent="0.35">
      <c r="A15" s="112">
        <v>7</v>
      </c>
      <c r="B15" s="3" t="s">
        <v>85</v>
      </c>
      <c r="C15" s="38">
        <v>43</v>
      </c>
      <c r="D15" s="38">
        <v>1</v>
      </c>
      <c r="E15" s="38">
        <v>295</v>
      </c>
      <c r="F15" s="104">
        <v>339</v>
      </c>
      <c r="H15" s="105">
        <v>66.53</v>
      </c>
      <c r="I15" s="105">
        <v>62</v>
      </c>
      <c r="J15" s="105">
        <v>69.08</v>
      </c>
      <c r="K15" s="105">
        <v>68.78</v>
      </c>
      <c r="L15" s="105"/>
      <c r="M15" s="34">
        <v>221.77021999999999</v>
      </c>
      <c r="N15" s="34">
        <v>282.77742999999998</v>
      </c>
      <c r="O15" s="34">
        <v>276.11108000000002</v>
      </c>
      <c r="P15" s="107"/>
      <c r="Q15" s="107">
        <v>3386.75</v>
      </c>
      <c r="R15" s="107">
        <v>4107.3</v>
      </c>
      <c r="S15" s="107">
        <v>4028.57</v>
      </c>
      <c r="T15" s="108"/>
    </row>
    <row r="16" spans="1:21" s="3" customFormat="1" x14ac:dyDescent="0.35">
      <c r="A16" s="112">
        <v>8</v>
      </c>
      <c r="B16" s="3" t="s">
        <v>86</v>
      </c>
      <c r="C16" s="38">
        <v>9</v>
      </c>
      <c r="D16" s="38">
        <v>0</v>
      </c>
      <c r="E16" s="38">
        <v>423</v>
      </c>
      <c r="F16" s="104">
        <v>432</v>
      </c>
      <c r="H16" s="105">
        <v>62</v>
      </c>
      <c r="I16" s="105">
        <v>0</v>
      </c>
      <c r="J16" s="105">
        <v>61.52</v>
      </c>
      <c r="K16" s="105">
        <v>61.53</v>
      </c>
      <c r="L16" s="105"/>
      <c r="M16" s="34">
        <v>279</v>
      </c>
      <c r="N16" s="34">
        <v>205.69751000000002</v>
      </c>
      <c r="O16" s="34">
        <v>207.97046</v>
      </c>
      <c r="P16" s="107"/>
      <c r="Q16" s="107">
        <v>4485.5600000000004</v>
      </c>
      <c r="R16" s="107">
        <v>3341.79</v>
      </c>
      <c r="S16" s="107">
        <v>3377.26</v>
      </c>
      <c r="T16" s="108"/>
    </row>
    <row r="17" spans="1:20" s="3" customFormat="1" x14ac:dyDescent="0.35">
      <c r="A17" s="112">
        <v>9</v>
      </c>
      <c r="B17" s="3" t="s">
        <v>64</v>
      </c>
      <c r="C17" s="38">
        <v>4</v>
      </c>
      <c r="D17" s="38">
        <v>1</v>
      </c>
      <c r="E17" s="38">
        <v>342</v>
      </c>
      <c r="F17" s="104">
        <v>347</v>
      </c>
      <c r="H17" s="105">
        <v>76.5</v>
      </c>
      <c r="I17" s="105">
        <v>78</v>
      </c>
      <c r="J17" s="105">
        <v>72.47</v>
      </c>
      <c r="K17" s="105">
        <v>72.540000000000006</v>
      </c>
      <c r="L17" s="105"/>
      <c r="M17" s="34">
        <v>315</v>
      </c>
      <c r="N17" s="34">
        <v>277.23639000000003</v>
      </c>
      <c r="O17" s="34">
        <v>277.86840999999998</v>
      </c>
      <c r="P17" s="107"/>
      <c r="Q17" s="107">
        <v>3979.06</v>
      </c>
      <c r="R17" s="107">
        <v>3847.34</v>
      </c>
      <c r="S17" s="107">
        <v>3849.55</v>
      </c>
      <c r="T17" s="108"/>
    </row>
    <row r="18" spans="1:20" s="3" customFormat="1" x14ac:dyDescent="0.35">
      <c r="A18" s="112">
        <v>10</v>
      </c>
      <c r="B18" s="3" t="s">
        <v>87</v>
      </c>
      <c r="C18" s="38">
        <v>33</v>
      </c>
      <c r="D18" s="38">
        <v>6</v>
      </c>
      <c r="E18" s="38">
        <v>525</v>
      </c>
      <c r="F18" s="104">
        <v>564</v>
      </c>
      <c r="H18" s="105">
        <v>81.87</v>
      </c>
      <c r="I18" s="105">
        <v>71.8</v>
      </c>
      <c r="J18" s="105">
        <v>72.64</v>
      </c>
      <c r="K18" s="105">
        <v>73.19</v>
      </c>
      <c r="L18" s="105"/>
      <c r="M18" s="34">
        <v>546.45167000000004</v>
      </c>
      <c r="N18" s="34">
        <v>344.31295</v>
      </c>
      <c r="O18" s="34">
        <v>359.06759999999997</v>
      </c>
      <c r="P18" s="107"/>
      <c r="Q18" s="107">
        <v>6598.68</v>
      </c>
      <c r="R18" s="107">
        <v>4679.55</v>
      </c>
      <c r="S18" s="107">
        <v>4819.63</v>
      </c>
      <c r="T18" s="108"/>
    </row>
    <row r="19" spans="1:20" s="3" customFormat="1" x14ac:dyDescent="0.35">
      <c r="A19" s="112"/>
      <c r="C19" s="38"/>
      <c r="D19" s="38"/>
      <c r="E19" s="104"/>
      <c r="F19" s="38"/>
      <c r="G19" s="105"/>
      <c r="H19" s="105"/>
      <c r="I19" s="105"/>
      <c r="J19" s="105"/>
      <c r="K19" s="106"/>
      <c r="L19" s="106"/>
      <c r="M19" s="34"/>
      <c r="N19" s="34"/>
      <c r="O19" s="34"/>
      <c r="P19" s="107"/>
      <c r="Q19" s="108"/>
      <c r="R19" s="107"/>
      <c r="S19" s="107"/>
      <c r="T19" s="107"/>
    </row>
    <row r="20" spans="1:20" x14ac:dyDescent="0.35">
      <c r="A20" s="112"/>
      <c r="B20" s="109" t="s">
        <v>89</v>
      </c>
      <c r="C20" s="110"/>
      <c r="F20" s="110"/>
      <c r="G20" s="111"/>
      <c r="H20" s="111"/>
      <c r="I20" s="111"/>
      <c r="J20" s="111"/>
      <c r="K20" s="111"/>
      <c r="L20" s="111"/>
      <c r="P20" s="59"/>
      <c r="Q20" s="59"/>
      <c r="R20" s="59"/>
      <c r="T20" s="59"/>
    </row>
    <row r="21" spans="1:20" x14ac:dyDescent="0.35">
      <c r="A21" s="112">
        <v>1</v>
      </c>
      <c r="B21" s="6" t="s">
        <v>8</v>
      </c>
      <c r="C21" s="38">
        <v>6</v>
      </c>
      <c r="D21" s="6">
        <v>0</v>
      </c>
      <c r="E21" s="6">
        <v>125</v>
      </c>
      <c r="F21" s="6">
        <v>131</v>
      </c>
      <c r="G21" s="7"/>
      <c r="H21" s="7">
        <v>79.33</v>
      </c>
      <c r="I21" s="7">
        <v>0</v>
      </c>
      <c r="J21" s="7">
        <v>61.58</v>
      </c>
      <c r="K21" s="7">
        <v>62.55</v>
      </c>
      <c r="M21" s="34">
        <v>366.83332999999999</v>
      </c>
      <c r="N21" s="34">
        <v>230.47110000000001</v>
      </c>
      <c r="O21" s="34">
        <v>237.90904</v>
      </c>
      <c r="Q21" s="34">
        <v>4726.37</v>
      </c>
      <c r="R21" s="34">
        <v>3785.38</v>
      </c>
      <c r="S21" s="34">
        <v>3836.71</v>
      </c>
    </row>
    <row r="22" spans="1:20" x14ac:dyDescent="0.35">
      <c r="A22" s="112">
        <v>2</v>
      </c>
      <c r="B22" s="6" t="s">
        <v>9</v>
      </c>
      <c r="C22" s="38">
        <v>4</v>
      </c>
      <c r="D22" s="6">
        <v>0</v>
      </c>
      <c r="E22" s="6">
        <v>74</v>
      </c>
      <c r="F22" s="6">
        <v>78</v>
      </c>
      <c r="G22" s="7"/>
      <c r="H22" s="7">
        <v>61.25</v>
      </c>
      <c r="I22" s="7">
        <v>0</v>
      </c>
      <c r="J22" s="7">
        <v>95.09</v>
      </c>
      <c r="K22" s="7">
        <v>92.76</v>
      </c>
      <c r="M22" s="34">
        <v>287.375</v>
      </c>
      <c r="N22" s="34">
        <v>409.21348</v>
      </c>
      <c r="O22" s="34">
        <v>400.51072999999997</v>
      </c>
      <c r="Q22" s="34">
        <v>4155.71</v>
      </c>
      <c r="R22" s="34">
        <v>4620.54</v>
      </c>
      <c r="S22" s="34">
        <v>4587.34</v>
      </c>
    </row>
    <row r="23" spans="1:20" x14ac:dyDescent="0.35">
      <c r="A23" s="112">
        <v>3</v>
      </c>
      <c r="B23" s="6" t="s">
        <v>10</v>
      </c>
      <c r="C23" s="38">
        <v>7</v>
      </c>
      <c r="D23" s="6">
        <v>0</v>
      </c>
      <c r="E23" s="6">
        <v>45</v>
      </c>
      <c r="F23" s="6">
        <v>52</v>
      </c>
      <c r="G23" s="7"/>
      <c r="H23" s="7">
        <v>40.17</v>
      </c>
      <c r="I23" s="7">
        <v>0</v>
      </c>
      <c r="J23" s="7">
        <v>41.7</v>
      </c>
      <c r="K23" s="7">
        <v>41.5</v>
      </c>
      <c r="M23" s="34">
        <v>197.16667000000001</v>
      </c>
      <c r="N23" s="34">
        <v>239.2</v>
      </c>
      <c r="O23" s="34">
        <v>233.71739000000002</v>
      </c>
      <c r="Q23" s="34">
        <v>5039.79</v>
      </c>
      <c r="R23" s="34">
        <v>6195.25</v>
      </c>
      <c r="S23" s="34">
        <v>6044.54</v>
      </c>
    </row>
    <row r="24" spans="1:20" x14ac:dyDescent="0.35">
      <c r="A24" s="112">
        <v>4</v>
      </c>
      <c r="B24" s="6" t="s">
        <v>11</v>
      </c>
      <c r="C24" s="38">
        <v>1</v>
      </c>
      <c r="D24" s="6">
        <v>0</v>
      </c>
      <c r="E24" s="6">
        <v>89</v>
      </c>
      <c r="F24" s="6">
        <v>90</v>
      </c>
      <c r="G24" s="7"/>
      <c r="H24" s="7">
        <v>79</v>
      </c>
      <c r="I24" s="7">
        <v>0</v>
      </c>
      <c r="J24" s="7">
        <v>67.930000000000007</v>
      </c>
      <c r="K24" s="7">
        <v>68.09</v>
      </c>
      <c r="M24" s="59" t="s">
        <v>100</v>
      </c>
      <c r="N24" s="34">
        <v>308.19840000000005</v>
      </c>
      <c r="O24" s="34">
        <v>308.80421999999999</v>
      </c>
      <c r="Q24" s="59" t="s">
        <v>100</v>
      </c>
      <c r="R24" s="34">
        <v>4849.6099999999997</v>
      </c>
      <c r="S24" s="34">
        <v>4843.53</v>
      </c>
    </row>
    <row r="25" spans="1:20" x14ac:dyDescent="0.35">
      <c r="A25" s="112">
        <v>5</v>
      </c>
      <c r="B25" s="6" t="s">
        <v>12</v>
      </c>
      <c r="C25" s="38">
        <v>1</v>
      </c>
      <c r="D25" s="6">
        <v>0</v>
      </c>
      <c r="E25" s="6">
        <v>52</v>
      </c>
      <c r="F25" s="6">
        <v>53</v>
      </c>
      <c r="G25" s="7"/>
      <c r="H25" s="7">
        <v>212</v>
      </c>
      <c r="I25" s="7">
        <v>0</v>
      </c>
      <c r="J25" s="7">
        <v>73.239999999999995</v>
      </c>
      <c r="K25" s="7">
        <v>76.19</v>
      </c>
      <c r="M25" s="59" t="s">
        <v>100</v>
      </c>
      <c r="N25" s="34">
        <v>409.11957000000001</v>
      </c>
      <c r="O25" s="34">
        <v>446.15958000000001</v>
      </c>
      <c r="Q25" s="59" t="s">
        <v>100</v>
      </c>
      <c r="R25" s="34">
        <v>5570.45</v>
      </c>
      <c r="S25" s="34">
        <v>5667.71</v>
      </c>
    </row>
    <row r="26" spans="1:20" x14ac:dyDescent="0.35">
      <c r="A26" s="112">
        <v>6</v>
      </c>
      <c r="B26" s="6" t="s">
        <v>13</v>
      </c>
      <c r="C26" s="38">
        <v>3</v>
      </c>
      <c r="D26" s="6">
        <v>0</v>
      </c>
      <c r="E26" s="6">
        <v>86</v>
      </c>
      <c r="F26" s="6">
        <v>89</v>
      </c>
      <c r="G26" s="7"/>
      <c r="H26" s="7">
        <v>103</v>
      </c>
      <c r="I26" s="7">
        <v>0</v>
      </c>
      <c r="J26" s="7">
        <v>70.040000000000006</v>
      </c>
      <c r="K26" s="7">
        <v>70.87</v>
      </c>
      <c r="M26" s="34">
        <v>698.54443000000003</v>
      </c>
      <c r="N26" s="34">
        <v>356.68137999999999</v>
      </c>
      <c r="O26" s="34">
        <v>365.44709999999998</v>
      </c>
      <c r="Q26" s="34">
        <v>6788.88</v>
      </c>
      <c r="R26" s="34">
        <v>5280.05</v>
      </c>
      <c r="S26" s="34">
        <v>5318.74</v>
      </c>
    </row>
    <row r="27" spans="1:20" x14ac:dyDescent="0.35">
      <c r="A27" s="112">
        <v>7</v>
      </c>
      <c r="B27" s="6" t="s">
        <v>14</v>
      </c>
      <c r="C27" s="38">
        <v>31</v>
      </c>
      <c r="D27" s="6">
        <v>0</v>
      </c>
      <c r="E27" s="6">
        <v>111</v>
      </c>
      <c r="F27" s="6">
        <v>142</v>
      </c>
      <c r="G27" s="7"/>
      <c r="H27" s="7">
        <v>113.59</v>
      </c>
      <c r="I27" s="7">
        <v>0</v>
      </c>
      <c r="J27" s="7">
        <v>118.51</v>
      </c>
      <c r="K27" s="7">
        <v>117.59</v>
      </c>
      <c r="M27" s="34">
        <v>760.31121999999993</v>
      </c>
      <c r="N27" s="34">
        <v>859.96343999999999</v>
      </c>
      <c r="O27" s="34">
        <v>841.38420999999994</v>
      </c>
      <c r="Q27" s="34">
        <v>6226.29</v>
      </c>
      <c r="R27" s="34">
        <v>7333.17</v>
      </c>
      <c r="S27" s="34">
        <v>7126.8</v>
      </c>
    </row>
    <row r="28" spans="1:20" x14ac:dyDescent="0.35">
      <c r="A28" s="112">
        <v>8</v>
      </c>
      <c r="B28" s="6" t="s">
        <v>15</v>
      </c>
      <c r="C28" s="38">
        <v>7</v>
      </c>
      <c r="D28" s="6">
        <v>0</v>
      </c>
      <c r="E28" s="6">
        <v>73</v>
      </c>
      <c r="F28" s="6">
        <v>80</v>
      </c>
      <c r="G28" s="7"/>
      <c r="H28" s="7">
        <v>79.17</v>
      </c>
      <c r="I28" s="7">
        <v>0</v>
      </c>
      <c r="J28" s="7">
        <v>99.63</v>
      </c>
      <c r="K28" s="7">
        <v>97.88</v>
      </c>
      <c r="M28" s="34">
        <v>556.33332999999993</v>
      </c>
      <c r="N28" s="34">
        <v>645.28179</v>
      </c>
      <c r="O28" s="34">
        <v>637.65764000000001</v>
      </c>
      <c r="Q28" s="34">
        <v>7136.71</v>
      </c>
      <c r="R28" s="34">
        <v>6620.51</v>
      </c>
      <c r="S28" s="34">
        <v>6664.76</v>
      </c>
    </row>
    <row r="29" spans="1:20" x14ac:dyDescent="0.35">
      <c r="A29" s="112">
        <v>9</v>
      </c>
      <c r="B29" s="6" t="s">
        <v>16</v>
      </c>
      <c r="C29" s="38">
        <v>38</v>
      </c>
      <c r="D29" s="6">
        <v>3</v>
      </c>
      <c r="E29" s="6">
        <v>108</v>
      </c>
      <c r="F29" s="6">
        <v>149</v>
      </c>
      <c r="G29" s="7"/>
      <c r="H29" s="7">
        <v>85.89</v>
      </c>
      <c r="I29" s="7">
        <v>89.67</v>
      </c>
      <c r="J29" s="7">
        <v>78.459999999999994</v>
      </c>
      <c r="K29" s="7">
        <v>80.739999999999995</v>
      </c>
      <c r="M29" s="34">
        <v>433.69443999999999</v>
      </c>
      <c r="N29" s="34">
        <v>448.03854999999999</v>
      </c>
      <c r="O29" s="34">
        <v>443.69915999999995</v>
      </c>
      <c r="Q29" s="34">
        <v>5270.17</v>
      </c>
      <c r="R29" s="34">
        <v>5887.04</v>
      </c>
      <c r="S29" s="34">
        <v>5700.42</v>
      </c>
    </row>
    <row r="30" spans="1:20" x14ac:dyDescent="0.35">
      <c r="A30" s="112">
        <v>10</v>
      </c>
      <c r="B30" s="6" t="s">
        <v>17</v>
      </c>
      <c r="C30" s="38">
        <v>9</v>
      </c>
      <c r="D30" s="6">
        <v>1</v>
      </c>
      <c r="E30" s="6">
        <v>80</v>
      </c>
      <c r="F30" s="6">
        <v>90</v>
      </c>
      <c r="G30" s="7"/>
      <c r="H30" s="7">
        <v>91.67</v>
      </c>
      <c r="I30" s="7">
        <v>86</v>
      </c>
      <c r="J30" s="7">
        <v>80.73</v>
      </c>
      <c r="K30" s="7">
        <v>82.21</v>
      </c>
      <c r="M30" s="34">
        <v>461.77778000000001</v>
      </c>
      <c r="N30" s="34">
        <v>426.48593</v>
      </c>
      <c r="O30" s="34">
        <v>431.37248999999997</v>
      </c>
      <c r="Q30" s="34">
        <v>5138.32</v>
      </c>
      <c r="R30" s="34">
        <v>5576.44</v>
      </c>
      <c r="S30" s="34">
        <v>5515.78</v>
      </c>
    </row>
    <row r="31" spans="1:20" x14ac:dyDescent="0.35">
      <c r="A31" s="112">
        <v>11</v>
      </c>
      <c r="B31" s="6" t="s">
        <v>96</v>
      </c>
      <c r="C31" s="38">
        <v>1</v>
      </c>
      <c r="D31" s="6">
        <v>0</v>
      </c>
      <c r="E31" s="6">
        <v>165</v>
      </c>
      <c r="F31" s="6">
        <v>166</v>
      </c>
      <c r="G31" s="7"/>
      <c r="H31" s="7">
        <v>63</v>
      </c>
      <c r="I31" s="7">
        <v>0</v>
      </c>
      <c r="J31" s="7">
        <v>62.22</v>
      </c>
      <c r="K31" s="7">
        <v>62.23</v>
      </c>
      <c r="M31" s="59" t="s">
        <v>100</v>
      </c>
      <c r="N31" s="34">
        <v>336.66505000000001</v>
      </c>
      <c r="O31" s="34">
        <v>338.55768999999998</v>
      </c>
      <c r="Q31" s="59" t="s">
        <v>100</v>
      </c>
      <c r="R31" s="34">
        <v>5596.64</v>
      </c>
      <c r="S31" s="34">
        <v>5624.25</v>
      </c>
    </row>
    <row r="32" spans="1:20" x14ac:dyDescent="0.35">
      <c r="A32" s="112">
        <v>12</v>
      </c>
      <c r="B32" s="6" t="s">
        <v>97</v>
      </c>
      <c r="C32" s="38">
        <v>0</v>
      </c>
      <c r="D32" s="6">
        <v>0</v>
      </c>
      <c r="E32" s="6">
        <v>2</v>
      </c>
      <c r="F32" s="6">
        <v>2</v>
      </c>
      <c r="G32" s="7"/>
      <c r="H32" s="7">
        <v>0</v>
      </c>
      <c r="I32" s="7">
        <v>0</v>
      </c>
      <c r="J32" s="7">
        <v>72.5</v>
      </c>
      <c r="K32" s="7">
        <v>72.5</v>
      </c>
      <c r="M32" s="34">
        <v>0</v>
      </c>
      <c r="N32" s="34">
        <v>0</v>
      </c>
      <c r="O32" s="34">
        <v>0</v>
      </c>
      <c r="Q32" s="34">
        <v>0</v>
      </c>
      <c r="R32" s="34">
        <v>0</v>
      </c>
      <c r="S32" s="34">
        <v>0</v>
      </c>
    </row>
    <row r="33" spans="1:19" x14ac:dyDescent="0.35">
      <c r="A33" s="112">
        <v>13</v>
      </c>
      <c r="B33" s="6" t="s">
        <v>18</v>
      </c>
      <c r="C33" s="38">
        <v>1</v>
      </c>
      <c r="D33" s="6">
        <v>0</v>
      </c>
      <c r="E33" s="6">
        <v>64</v>
      </c>
      <c r="F33" s="6">
        <v>65</v>
      </c>
      <c r="G33" s="7"/>
      <c r="H33" s="7">
        <v>0</v>
      </c>
      <c r="I33" s="7">
        <v>0</v>
      </c>
      <c r="J33" s="7">
        <v>70.94</v>
      </c>
      <c r="K33" s="7">
        <v>70.94</v>
      </c>
      <c r="M33" s="34">
        <v>0</v>
      </c>
      <c r="N33" s="34">
        <v>320.19884000000002</v>
      </c>
      <c r="O33" s="34">
        <v>320.19884000000002</v>
      </c>
      <c r="Q33" s="34">
        <v>0</v>
      </c>
      <c r="R33" s="34">
        <v>4427.8</v>
      </c>
      <c r="S33" s="34">
        <v>4427.8</v>
      </c>
    </row>
    <row r="34" spans="1:19" x14ac:dyDescent="0.35">
      <c r="A34" s="112">
        <v>14</v>
      </c>
      <c r="B34" s="6" t="s">
        <v>19</v>
      </c>
      <c r="C34" s="38">
        <v>2</v>
      </c>
      <c r="D34" s="6">
        <v>0</v>
      </c>
      <c r="E34" s="6">
        <v>21</v>
      </c>
      <c r="F34" s="6">
        <v>23</v>
      </c>
      <c r="G34" s="7"/>
      <c r="H34" s="7">
        <v>201</v>
      </c>
      <c r="I34" s="7">
        <v>0</v>
      </c>
      <c r="J34" s="7">
        <v>76.05</v>
      </c>
      <c r="K34" s="7">
        <v>87.95</v>
      </c>
      <c r="M34" s="34">
        <v>855</v>
      </c>
      <c r="N34" s="34">
        <v>335.57895000000002</v>
      </c>
      <c r="O34" s="34">
        <v>385.04761999999999</v>
      </c>
      <c r="Q34" s="34">
        <v>4186.71</v>
      </c>
      <c r="R34" s="34">
        <v>4658.91</v>
      </c>
      <c r="S34" s="34">
        <v>4613.9399999999996</v>
      </c>
    </row>
    <row r="35" spans="1:19" x14ac:dyDescent="0.35">
      <c r="A35" s="112">
        <v>15</v>
      </c>
      <c r="B35" s="6" t="s">
        <v>20</v>
      </c>
      <c r="C35" s="38">
        <v>17</v>
      </c>
      <c r="D35" s="6">
        <v>0</v>
      </c>
      <c r="E35" s="6">
        <v>33</v>
      </c>
      <c r="F35" s="6">
        <v>50</v>
      </c>
      <c r="G35" s="7"/>
      <c r="H35" s="7">
        <v>65</v>
      </c>
      <c r="I35" s="7">
        <v>0</v>
      </c>
      <c r="J35" s="7">
        <v>84.54</v>
      </c>
      <c r="K35" s="7">
        <v>79.03</v>
      </c>
      <c r="M35" s="34">
        <v>321.89999999999998</v>
      </c>
      <c r="N35" s="34">
        <v>305.94286</v>
      </c>
      <c r="O35" s="34">
        <v>310.44359000000003</v>
      </c>
      <c r="Q35" s="34">
        <v>4971.58</v>
      </c>
      <c r="R35" s="34">
        <v>3843.82</v>
      </c>
      <c r="S35" s="34">
        <v>4161.91</v>
      </c>
    </row>
    <row r="36" spans="1:19" x14ac:dyDescent="0.35">
      <c r="A36" s="112">
        <v>16</v>
      </c>
      <c r="B36" s="6" t="s">
        <v>21</v>
      </c>
      <c r="C36" s="38">
        <v>40</v>
      </c>
      <c r="D36" s="6">
        <v>29</v>
      </c>
      <c r="E36" s="6">
        <v>43</v>
      </c>
      <c r="F36" s="6">
        <v>112</v>
      </c>
      <c r="G36" s="7"/>
      <c r="H36" s="7">
        <v>92.05</v>
      </c>
      <c r="I36" s="7">
        <v>89.15</v>
      </c>
      <c r="J36" s="7">
        <v>76.459999999999994</v>
      </c>
      <c r="K36" s="7">
        <v>85.48</v>
      </c>
      <c r="M36" s="34">
        <v>451.36153999999999</v>
      </c>
      <c r="N36" s="34">
        <v>346.62353000000002</v>
      </c>
      <c r="O36" s="34">
        <v>402.57945000000001</v>
      </c>
      <c r="Q36" s="34">
        <v>4970.1899999999996</v>
      </c>
      <c r="R36" s="34">
        <v>4525.7</v>
      </c>
      <c r="S36" s="34">
        <v>4763.17</v>
      </c>
    </row>
    <row r="37" spans="1:19" x14ac:dyDescent="0.35">
      <c r="A37" s="112">
        <v>17</v>
      </c>
      <c r="B37" s="6" t="s">
        <v>22</v>
      </c>
      <c r="C37" s="38">
        <v>2</v>
      </c>
      <c r="D37" s="6">
        <v>0</v>
      </c>
      <c r="E37" s="6">
        <v>54</v>
      </c>
      <c r="F37" s="6">
        <v>56</v>
      </c>
      <c r="G37" s="7"/>
      <c r="H37" s="7">
        <v>90</v>
      </c>
      <c r="I37" s="7">
        <v>0</v>
      </c>
      <c r="J37" s="7">
        <v>65.08</v>
      </c>
      <c r="K37" s="7">
        <v>66.040000000000006</v>
      </c>
      <c r="M37" s="34">
        <v>535</v>
      </c>
      <c r="N37" s="34">
        <v>297.13830000000002</v>
      </c>
      <c r="O37" s="34">
        <v>306.84694000000002</v>
      </c>
      <c r="Q37" s="34">
        <v>6008.52</v>
      </c>
      <c r="R37" s="34">
        <v>4649.47</v>
      </c>
      <c r="S37" s="34">
        <v>4704.9399999999996</v>
      </c>
    </row>
    <row r="38" spans="1:19" x14ac:dyDescent="0.35">
      <c r="A38" s="112">
        <v>18</v>
      </c>
      <c r="B38" s="6" t="s">
        <v>23</v>
      </c>
      <c r="C38" s="38">
        <v>7</v>
      </c>
      <c r="D38" s="6">
        <v>0</v>
      </c>
      <c r="E38" s="6">
        <v>85</v>
      </c>
      <c r="F38" s="6">
        <v>92</v>
      </c>
      <c r="G38" s="7"/>
      <c r="H38" s="7">
        <v>72.8</v>
      </c>
      <c r="I38" s="7">
        <v>0</v>
      </c>
      <c r="J38" s="7">
        <v>65.11</v>
      </c>
      <c r="K38" s="7">
        <v>65.599999999999994</v>
      </c>
      <c r="M38" s="34">
        <v>398.4</v>
      </c>
      <c r="N38" s="34">
        <v>307.57751000000002</v>
      </c>
      <c r="O38" s="34">
        <v>313.88463000000002</v>
      </c>
      <c r="Q38" s="34">
        <v>5127.5200000000004</v>
      </c>
      <c r="R38" s="34">
        <v>4896.09</v>
      </c>
      <c r="S38" s="34">
        <v>4912.16</v>
      </c>
    </row>
    <row r="39" spans="1:19" x14ac:dyDescent="0.35">
      <c r="A39" s="112">
        <v>19</v>
      </c>
      <c r="B39" s="6" t="s">
        <v>24</v>
      </c>
      <c r="C39" s="38">
        <v>1</v>
      </c>
      <c r="D39" s="6">
        <v>0</v>
      </c>
      <c r="E39" s="6">
        <v>78</v>
      </c>
      <c r="F39" s="6">
        <v>79</v>
      </c>
      <c r="G39" s="7"/>
      <c r="H39" s="7">
        <v>77</v>
      </c>
      <c r="I39" s="7">
        <v>0</v>
      </c>
      <c r="J39" s="7">
        <v>85.56</v>
      </c>
      <c r="K39" s="7">
        <v>85.44</v>
      </c>
      <c r="M39" s="59" t="s">
        <v>100</v>
      </c>
      <c r="N39" s="34">
        <v>546.1069</v>
      </c>
      <c r="O39" s="34">
        <v>545.26907999999992</v>
      </c>
      <c r="Q39" s="59" t="s">
        <v>100</v>
      </c>
      <c r="R39" s="34">
        <v>6104.76</v>
      </c>
      <c r="S39" s="34">
        <v>6110.07</v>
      </c>
    </row>
    <row r="40" spans="1:19" x14ac:dyDescent="0.35">
      <c r="A40" s="112">
        <v>20</v>
      </c>
      <c r="B40" s="6" t="s">
        <v>25</v>
      </c>
      <c r="C40" s="38">
        <v>0</v>
      </c>
      <c r="D40" s="6">
        <v>0</v>
      </c>
      <c r="E40" s="6">
        <v>38</v>
      </c>
      <c r="F40" s="6">
        <v>38</v>
      </c>
      <c r="G40" s="7"/>
      <c r="H40" s="7">
        <v>0</v>
      </c>
      <c r="I40" s="7">
        <v>0</v>
      </c>
      <c r="J40" s="7">
        <v>84.61</v>
      </c>
      <c r="K40" s="7">
        <v>84.61</v>
      </c>
      <c r="M40" s="34">
        <v>0</v>
      </c>
      <c r="N40" s="34">
        <v>421.08315000000005</v>
      </c>
      <c r="O40" s="34">
        <v>421.08315000000005</v>
      </c>
      <c r="Q40" s="34">
        <v>0</v>
      </c>
      <c r="R40" s="34">
        <v>4994.74</v>
      </c>
      <c r="S40" s="34">
        <v>4994.74</v>
      </c>
    </row>
    <row r="41" spans="1:19" x14ac:dyDescent="0.35">
      <c r="A41" s="112">
        <v>21</v>
      </c>
      <c r="B41" s="6" t="s">
        <v>26</v>
      </c>
      <c r="C41" s="38">
        <v>0</v>
      </c>
      <c r="D41" s="6">
        <v>0</v>
      </c>
      <c r="E41" s="6">
        <v>25</v>
      </c>
      <c r="F41" s="6">
        <v>25</v>
      </c>
      <c r="G41" s="7"/>
      <c r="H41" s="7">
        <v>0</v>
      </c>
      <c r="I41" s="7">
        <v>0</v>
      </c>
      <c r="J41" s="7">
        <v>169.05</v>
      </c>
      <c r="K41" s="7">
        <v>169.05</v>
      </c>
      <c r="M41" s="34">
        <v>0</v>
      </c>
      <c r="N41" s="34">
        <v>1432.87373</v>
      </c>
      <c r="O41" s="34">
        <v>1432.87373</v>
      </c>
      <c r="Q41" s="34">
        <v>0</v>
      </c>
      <c r="R41" s="34">
        <v>7709.47</v>
      </c>
      <c r="S41" s="34">
        <v>7709.47</v>
      </c>
    </row>
    <row r="42" spans="1:19" x14ac:dyDescent="0.35">
      <c r="A42" s="112">
        <v>22</v>
      </c>
      <c r="B42" s="6" t="s">
        <v>27</v>
      </c>
      <c r="C42" s="38">
        <v>0</v>
      </c>
      <c r="D42" s="6">
        <v>0</v>
      </c>
      <c r="E42" s="6">
        <v>10</v>
      </c>
      <c r="F42" s="6">
        <v>10</v>
      </c>
      <c r="G42" s="7"/>
      <c r="H42" s="7">
        <v>0</v>
      </c>
      <c r="I42" s="7">
        <v>0</v>
      </c>
      <c r="J42" s="7">
        <v>189.5</v>
      </c>
      <c r="K42" s="7">
        <v>189.5</v>
      </c>
      <c r="M42" s="34">
        <v>0</v>
      </c>
      <c r="N42" s="34">
        <v>443.209</v>
      </c>
      <c r="O42" s="34">
        <v>443.209</v>
      </c>
      <c r="Q42" s="34">
        <v>0</v>
      </c>
      <c r="R42" s="34">
        <v>2731.93</v>
      </c>
      <c r="S42" s="34">
        <v>2731.93</v>
      </c>
    </row>
    <row r="43" spans="1:19" x14ac:dyDescent="0.35">
      <c r="A43" s="112">
        <v>23</v>
      </c>
      <c r="B43" s="6" t="s">
        <v>28</v>
      </c>
      <c r="C43" s="38">
        <v>2</v>
      </c>
      <c r="D43" s="6">
        <v>0</v>
      </c>
      <c r="E43" s="6">
        <v>41</v>
      </c>
      <c r="F43" s="6">
        <v>43</v>
      </c>
      <c r="G43" s="7"/>
      <c r="H43" s="7">
        <v>0</v>
      </c>
      <c r="I43" s="7">
        <v>0</v>
      </c>
      <c r="J43" s="7">
        <v>114.46</v>
      </c>
      <c r="K43" s="7">
        <v>114.46</v>
      </c>
      <c r="M43" s="34">
        <v>0</v>
      </c>
      <c r="N43" s="34">
        <v>733.82706000000007</v>
      </c>
      <c r="O43" s="34">
        <v>733.82706000000007</v>
      </c>
      <c r="Q43" s="34">
        <v>0</v>
      </c>
      <c r="R43" s="34">
        <v>6908.95</v>
      </c>
      <c r="S43" s="34">
        <v>6908.95</v>
      </c>
    </row>
    <row r="44" spans="1:19" x14ac:dyDescent="0.35">
      <c r="A44" s="112">
        <v>24</v>
      </c>
      <c r="B44" s="6" t="s">
        <v>29</v>
      </c>
      <c r="C44" s="38">
        <v>1</v>
      </c>
      <c r="D44" s="6">
        <v>0</v>
      </c>
      <c r="E44" s="6">
        <v>30</v>
      </c>
      <c r="F44" s="6">
        <v>31</v>
      </c>
      <c r="G44" s="7"/>
      <c r="H44" s="7">
        <v>157</v>
      </c>
      <c r="I44" s="7">
        <v>0</v>
      </c>
      <c r="J44" s="7">
        <v>152.37</v>
      </c>
      <c r="K44" s="7">
        <v>152.6</v>
      </c>
      <c r="M44" s="59" t="s">
        <v>100</v>
      </c>
      <c r="N44" s="34">
        <v>1034.0001099999999</v>
      </c>
      <c r="O44" s="34">
        <v>1022.5001</v>
      </c>
      <c r="Q44" s="59" t="s">
        <v>100</v>
      </c>
      <c r="R44" s="34">
        <v>6863.45</v>
      </c>
      <c r="S44" s="34">
        <v>6776.33</v>
      </c>
    </row>
    <row r="45" spans="1:19" x14ac:dyDescent="0.35">
      <c r="A45" s="112">
        <v>25</v>
      </c>
      <c r="B45" s="6" t="s">
        <v>30</v>
      </c>
      <c r="C45" s="38">
        <v>2</v>
      </c>
      <c r="D45" s="6">
        <v>0</v>
      </c>
      <c r="E45" s="6">
        <v>59</v>
      </c>
      <c r="F45" s="6">
        <v>61</v>
      </c>
      <c r="G45" s="7"/>
      <c r="H45" s="7">
        <v>97</v>
      </c>
      <c r="I45" s="7">
        <v>0</v>
      </c>
      <c r="J45" s="7">
        <v>111.91</v>
      </c>
      <c r="K45" s="7">
        <v>111.57</v>
      </c>
      <c r="M45" s="59" t="s">
        <v>100</v>
      </c>
      <c r="N45" s="34">
        <v>659.38036999999997</v>
      </c>
      <c r="O45" s="34">
        <v>656.21262999999999</v>
      </c>
      <c r="Q45" s="59" t="s">
        <v>100</v>
      </c>
      <c r="R45" s="34">
        <v>6070.53</v>
      </c>
      <c r="S45" s="34">
        <v>6054.4</v>
      </c>
    </row>
    <row r="46" spans="1:19" x14ac:dyDescent="0.35">
      <c r="A46" s="112">
        <v>26</v>
      </c>
      <c r="B46" s="6" t="s">
        <v>31</v>
      </c>
      <c r="C46" s="38">
        <v>5</v>
      </c>
      <c r="D46" s="6">
        <v>0</v>
      </c>
      <c r="E46" s="6">
        <v>104</v>
      </c>
      <c r="F46" s="6">
        <v>109</v>
      </c>
      <c r="G46" s="7"/>
      <c r="H46" s="7">
        <v>143</v>
      </c>
      <c r="I46" s="7">
        <v>0</v>
      </c>
      <c r="J46" s="7">
        <v>132.66</v>
      </c>
      <c r="K46" s="7">
        <v>133</v>
      </c>
      <c r="M46" s="34">
        <v>1407.7</v>
      </c>
      <c r="N46" s="34">
        <v>860.48047999999994</v>
      </c>
      <c r="O46" s="34">
        <v>878.72113000000002</v>
      </c>
      <c r="Q46" s="34">
        <v>9591.7000000000007</v>
      </c>
      <c r="R46" s="34">
        <v>6688.62</v>
      </c>
      <c r="S46" s="34">
        <v>6785.39</v>
      </c>
    </row>
    <row r="47" spans="1:19" x14ac:dyDescent="0.35">
      <c r="A47" s="112">
        <v>27</v>
      </c>
      <c r="B47" s="6" t="s">
        <v>32</v>
      </c>
      <c r="C47" s="38">
        <v>5</v>
      </c>
      <c r="D47" s="6">
        <v>0</v>
      </c>
      <c r="E47" s="6">
        <v>42</v>
      </c>
      <c r="F47" s="6">
        <v>47</v>
      </c>
      <c r="G47" s="7"/>
      <c r="H47" s="7">
        <v>98.2</v>
      </c>
      <c r="I47" s="7">
        <v>0</v>
      </c>
      <c r="J47" s="7">
        <v>104.1</v>
      </c>
      <c r="K47" s="7">
        <v>103.46</v>
      </c>
      <c r="M47" s="34">
        <v>394.72219999999999</v>
      </c>
      <c r="N47" s="34">
        <v>622.10059000000001</v>
      </c>
      <c r="O47" s="34">
        <v>597.38555000000008</v>
      </c>
      <c r="Q47" s="34">
        <v>4044.09</v>
      </c>
      <c r="R47" s="34">
        <v>6180.23</v>
      </c>
      <c r="S47" s="34">
        <v>5948.04</v>
      </c>
    </row>
    <row r="48" spans="1:19" x14ac:dyDescent="0.35">
      <c r="A48" s="112">
        <v>28</v>
      </c>
      <c r="B48" s="6" t="s">
        <v>33</v>
      </c>
      <c r="C48" s="38">
        <v>9</v>
      </c>
      <c r="D48" s="6">
        <v>0</v>
      </c>
      <c r="E48" s="6">
        <v>25</v>
      </c>
      <c r="F48" s="6">
        <v>34</v>
      </c>
      <c r="G48" s="7"/>
      <c r="H48" s="7">
        <v>124.43</v>
      </c>
      <c r="I48" s="7">
        <v>0</v>
      </c>
      <c r="J48" s="7">
        <v>85.05</v>
      </c>
      <c r="K48" s="7">
        <v>95.26</v>
      </c>
      <c r="M48" s="34">
        <v>661</v>
      </c>
      <c r="N48" s="34">
        <v>433.61579</v>
      </c>
      <c r="O48" s="34">
        <v>494.83461999999997</v>
      </c>
      <c r="Q48" s="34">
        <v>5153.53</v>
      </c>
      <c r="R48" s="34">
        <v>5554.75</v>
      </c>
      <c r="S48" s="34">
        <v>5446.73</v>
      </c>
    </row>
    <row r="49" spans="1:19" x14ac:dyDescent="0.35">
      <c r="A49" s="112">
        <v>29</v>
      </c>
      <c r="B49" s="6" t="s">
        <v>34</v>
      </c>
      <c r="C49" s="38">
        <v>3</v>
      </c>
      <c r="D49" s="6">
        <v>0</v>
      </c>
      <c r="E49" s="6">
        <v>12</v>
      </c>
      <c r="F49" s="6">
        <v>15</v>
      </c>
      <c r="G49" s="7"/>
      <c r="H49" s="7">
        <v>61</v>
      </c>
      <c r="I49" s="7">
        <v>0</v>
      </c>
      <c r="J49" s="7">
        <v>67.11</v>
      </c>
      <c r="K49" s="7">
        <v>65.58</v>
      </c>
      <c r="M49" s="34">
        <v>234.33332999999999</v>
      </c>
      <c r="N49" s="34">
        <v>245.37870999999998</v>
      </c>
      <c r="O49" s="34">
        <v>242.0651</v>
      </c>
      <c r="Q49" s="34">
        <v>3702.09</v>
      </c>
      <c r="R49" s="34">
        <v>3631.52</v>
      </c>
      <c r="S49" s="34">
        <v>3652.69</v>
      </c>
    </row>
    <row r="50" spans="1:19" x14ac:dyDescent="0.35">
      <c r="A50" s="112">
        <v>30</v>
      </c>
      <c r="B50" s="6" t="s">
        <v>35</v>
      </c>
      <c r="C50" s="38">
        <v>3</v>
      </c>
      <c r="D50" s="6">
        <v>0</v>
      </c>
      <c r="E50" s="6">
        <v>25</v>
      </c>
      <c r="F50" s="6">
        <v>28</v>
      </c>
      <c r="G50" s="7"/>
      <c r="H50" s="7">
        <v>63</v>
      </c>
      <c r="I50" s="7">
        <v>0</v>
      </c>
      <c r="J50" s="7">
        <v>73.83</v>
      </c>
      <c r="K50" s="7">
        <v>72.28</v>
      </c>
      <c r="M50" s="34">
        <v>288.46666999999997</v>
      </c>
      <c r="N50" s="34">
        <v>377.11111</v>
      </c>
      <c r="O50" s="34">
        <v>364.44761999999997</v>
      </c>
      <c r="Q50" s="34">
        <v>4764.0600000000004</v>
      </c>
      <c r="R50" s="34">
        <v>5101.34</v>
      </c>
      <c r="S50" s="34">
        <v>5053.16</v>
      </c>
    </row>
    <row r="51" spans="1:19" x14ac:dyDescent="0.35">
      <c r="A51" s="112">
        <v>31</v>
      </c>
      <c r="B51" s="6" t="s">
        <v>36</v>
      </c>
      <c r="C51" s="38">
        <v>0</v>
      </c>
      <c r="D51" s="6">
        <v>0</v>
      </c>
      <c r="E51" s="6">
        <v>117</v>
      </c>
      <c r="F51" s="6">
        <v>117</v>
      </c>
      <c r="G51" s="7"/>
      <c r="H51" s="7">
        <v>0</v>
      </c>
      <c r="I51" s="7">
        <v>0</v>
      </c>
      <c r="J51" s="7">
        <v>76.510000000000005</v>
      </c>
      <c r="K51" s="7">
        <v>76.510000000000005</v>
      </c>
      <c r="M51" s="34">
        <v>0</v>
      </c>
      <c r="N51" s="34">
        <v>431.19731999999999</v>
      </c>
      <c r="O51" s="34">
        <v>431.19731999999999</v>
      </c>
      <c r="Q51" s="34">
        <v>0</v>
      </c>
      <c r="R51" s="34">
        <v>5677.67</v>
      </c>
      <c r="S51" s="34">
        <v>5677.67</v>
      </c>
    </row>
    <row r="52" spans="1:19" x14ac:dyDescent="0.35">
      <c r="A52" s="112">
        <v>32</v>
      </c>
      <c r="B52" s="6" t="s">
        <v>37</v>
      </c>
      <c r="C52" s="38">
        <v>0</v>
      </c>
      <c r="D52" s="6">
        <v>0</v>
      </c>
      <c r="E52" s="6">
        <v>72</v>
      </c>
      <c r="F52" s="6">
        <v>72</v>
      </c>
      <c r="G52" s="7"/>
      <c r="H52" s="7">
        <v>0</v>
      </c>
      <c r="I52" s="7">
        <v>0</v>
      </c>
      <c r="J52" s="7">
        <v>76.27</v>
      </c>
      <c r="K52" s="7">
        <v>76.27</v>
      </c>
      <c r="M52" s="34">
        <v>0</v>
      </c>
      <c r="N52" s="34">
        <v>415.34994</v>
      </c>
      <c r="O52" s="34">
        <v>415.34994</v>
      </c>
      <c r="Q52" s="34">
        <v>0</v>
      </c>
      <c r="R52" s="34">
        <v>5590.48</v>
      </c>
      <c r="S52" s="34">
        <v>5590.48</v>
      </c>
    </row>
    <row r="53" spans="1:19" x14ac:dyDescent="0.35">
      <c r="A53" s="112">
        <v>33</v>
      </c>
      <c r="B53" s="6" t="s">
        <v>38</v>
      </c>
      <c r="C53" s="38">
        <v>0</v>
      </c>
      <c r="D53" s="6">
        <v>0</v>
      </c>
      <c r="E53" s="6">
        <v>47</v>
      </c>
      <c r="F53" s="6">
        <v>47</v>
      </c>
      <c r="G53" s="7"/>
      <c r="H53" s="7">
        <v>0</v>
      </c>
      <c r="I53" s="7">
        <v>0</v>
      </c>
      <c r="J53" s="7">
        <v>69.78</v>
      </c>
      <c r="K53" s="7">
        <v>69.78</v>
      </c>
      <c r="M53" s="34">
        <v>0</v>
      </c>
      <c r="N53" s="34">
        <v>339.21674000000002</v>
      </c>
      <c r="O53" s="34">
        <v>339.21674000000002</v>
      </c>
      <c r="Q53" s="34">
        <v>0</v>
      </c>
      <c r="R53" s="34">
        <v>4825.34</v>
      </c>
      <c r="S53" s="34">
        <v>4825.34</v>
      </c>
    </row>
    <row r="54" spans="1:19" x14ac:dyDescent="0.35">
      <c r="A54" s="112">
        <v>34</v>
      </c>
      <c r="B54" s="6" t="s">
        <v>39</v>
      </c>
      <c r="C54" s="38">
        <v>0</v>
      </c>
      <c r="D54" s="6">
        <v>0</v>
      </c>
      <c r="E54" s="6">
        <v>9</v>
      </c>
      <c r="F54" s="6">
        <v>9</v>
      </c>
      <c r="G54" s="7"/>
      <c r="H54" s="7">
        <v>0</v>
      </c>
      <c r="I54" s="7">
        <v>0</v>
      </c>
      <c r="J54" s="7">
        <v>89.89</v>
      </c>
      <c r="K54" s="7">
        <v>89.89</v>
      </c>
      <c r="M54" s="34">
        <v>0</v>
      </c>
      <c r="N54" s="34">
        <v>259.25556</v>
      </c>
      <c r="O54" s="34">
        <v>259.25556</v>
      </c>
      <c r="Q54" s="34">
        <v>0</v>
      </c>
      <c r="R54" s="34">
        <v>3515.19</v>
      </c>
      <c r="S54" s="34">
        <v>3515.19</v>
      </c>
    </row>
    <row r="55" spans="1:19" x14ac:dyDescent="0.35">
      <c r="A55" s="112">
        <v>35</v>
      </c>
      <c r="B55" s="6" t="s">
        <v>40</v>
      </c>
      <c r="C55" s="38">
        <v>7</v>
      </c>
      <c r="D55" s="6">
        <v>0</v>
      </c>
      <c r="E55" s="6">
        <v>80</v>
      </c>
      <c r="F55" s="6">
        <v>87</v>
      </c>
      <c r="G55" s="7"/>
      <c r="H55" s="7">
        <v>85</v>
      </c>
      <c r="I55" s="7">
        <v>0</v>
      </c>
      <c r="J55" s="7">
        <v>70.260000000000005</v>
      </c>
      <c r="K55" s="7">
        <v>70.83</v>
      </c>
      <c r="M55" s="34">
        <v>416.24241999999998</v>
      </c>
      <c r="N55" s="34">
        <v>323.73784000000001</v>
      </c>
      <c r="O55" s="34">
        <v>327.34190999999998</v>
      </c>
      <c r="Q55" s="34">
        <v>5213.09</v>
      </c>
      <c r="R55" s="34">
        <v>4667.12</v>
      </c>
      <c r="S55" s="34">
        <v>4688.3900000000003</v>
      </c>
    </row>
    <row r="56" spans="1:19" x14ac:dyDescent="0.35">
      <c r="A56" s="112">
        <v>36</v>
      </c>
      <c r="B56" s="6" t="s">
        <v>41</v>
      </c>
      <c r="C56" s="38">
        <v>0</v>
      </c>
      <c r="D56" s="6">
        <v>0</v>
      </c>
      <c r="E56" s="6">
        <v>15</v>
      </c>
      <c r="F56" s="6">
        <v>15</v>
      </c>
      <c r="G56" s="7"/>
      <c r="H56" s="7">
        <v>0</v>
      </c>
      <c r="I56" s="7">
        <v>0</v>
      </c>
      <c r="J56" s="7">
        <v>100.85</v>
      </c>
      <c r="K56" s="7">
        <v>100.85</v>
      </c>
      <c r="M56" s="34">
        <v>0</v>
      </c>
      <c r="N56" s="34">
        <v>474.76922999999999</v>
      </c>
      <c r="O56" s="34">
        <v>474.76922999999999</v>
      </c>
      <c r="Q56" s="34">
        <v>0</v>
      </c>
      <c r="R56" s="34">
        <v>4749.29</v>
      </c>
      <c r="S56" s="34">
        <v>4749.29</v>
      </c>
    </row>
    <row r="57" spans="1:19" x14ac:dyDescent="0.35">
      <c r="A57" s="112">
        <v>37</v>
      </c>
      <c r="B57" s="6" t="s">
        <v>42</v>
      </c>
      <c r="C57" s="38">
        <v>15</v>
      </c>
      <c r="D57" s="6">
        <v>0</v>
      </c>
      <c r="E57" s="6">
        <v>74</v>
      </c>
      <c r="F57" s="6">
        <v>89</v>
      </c>
      <c r="G57" s="7"/>
      <c r="H57" s="7">
        <v>59.15</v>
      </c>
      <c r="I57" s="7">
        <v>0</v>
      </c>
      <c r="J57" s="7">
        <v>59.96</v>
      </c>
      <c r="K57" s="7">
        <v>59.84</v>
      </c>
      <c r="M57" s="34">
        <v>208.59923000000001</v>
      </c>
      <c r="N57" s="34">
        <v>190.68816000000001</v>
      </c>
      <c r="O57" s="34">
        <v>193.46010999999999</v>
      </c>
      <c r="Q57" s="34">
        <v>3589.77</v>
      </c>
      <c r="R57" s="34">
        <v>3202.48</v>
      </c>
      <c r="S57" s="34">
        <v>3262.42</v>
      </c>
    </row>
    <row r="58" spans="1:19" x14ac:dyDescent="0.35">
      <c r="A58" s="112">
        <v>38</v>
      </c>
      <c r="B58" s="6" t="s">
        <v>43</v>
      </c>
      <c r="C58" s="38">
        <v>5</v>
      </c>
      <c r="D58" s="6">
        <v>0</v>
      </c>
      <c r="E58" s="6">
        <v>20</v>
      </c>
      <c r="F58" s="6">
        <v>25</v>
      </c>
      <c r="G58" s="7"/>
      <c r="H58" s="7">
        <v>72.25</v>
      </c>
      <c r="I58" s="7">
        <v>0</v>
      </c>
      <c r="J58" s="7">
        <v>64.89</v>
      </c>
      <c r="K58" s="7">
        <v>66.23</v>
      </c>
      <c r="M58" s="34">
        <v>183.75</v>
      </c>
      <c r="N58" s="34">
        <v>233.80972</v>
      </c>
      <c r="O58" s="34">
        <v>224.70795000000001</v>
      </c>
      <c r="Q58" s="34">
        <v>2890.62</v>
      </c>
      <c r="R58" s="34">
        <v>3478.54</v>
      </c>
      <c r="S58" s="34">
        <v>3371.65</v>
      </c>
    </row>
    <row r="59" spans="1:19" x14ac:dyDescent="0.35">
      <c r="A59" s="112">
        <v>39</v>
      </c>
      <c r="B59" s="6" t="s">
        <v>44</v>
      </c>
      <c r="C59" s="38">
        <v>5</v>
      </c>
      <c r="D59" s="6">
        <v>0</v>
      </c>
      <c r="E59" s="6">
        <v>6</v>
      </c>
      <c r="F59" s="6">
        <v>11</v>
      </c>
      <c r="G59" s="7"/>
      <c r="H59" s="7">
        <v>61</v>
      </c>
      <c r="I59" s="7">
        <v>0</v>
      </c>
      <c r="J59" s="7">
        <v>91.33</v>
      </c>
      <c r="K59" s="7">
        <v>79.2</v>
      </c>
      <c r="M59" s="34">
        <v>128.375</v>
      </c>
      <c r="N59" s="34">
        <v>213</v>
      </c>
      <c r="O59" s="34">
        <v>175.38889</v>
      </c>
      <c r="Q59" s="34">
        <v>1983.47</v>
      </c>
      <c r="R59" s="34">
        <v>3041.6</v>
      </c>
      <c r="S59" s="34">
        <v>2571.3200000000002</v>
      </c>
    </row>
    <row r="60" spans="1:19" x14ac:dyDescent="0.35">
      <c r="A60" s="112">
        <v>40</v>
      </c>
      <c r="B60" s="6" t="s">
        <v>45</v>
      </c>
      <c r="C60" s="38">
        <v>2</v>
      </c>
      <c r="D60" s="6">
        <v>0</v>
      </c>
      <c r="E60" s="6">
        <v>5</v>
      </c>
      <c r="F60" s="6">
        <v>7</v>
      </c>
      <c r="G60" s="7"/>
      <c r="H60" s="7">
        <v>71</v>
      </c>
      <c r="I60" s="7">
        <v>0</v>
      </c>
      <c r="J60" s="7">
        <v>65.8</v>
      </c>
      <c r="K60" s="7">
        <v>67.290000000000006</v>
      </c>
      <c r="M60" s="59" t="s">
        <v>100</v>
      </c>
      <c r="N60" s="34">
        <v>235.75</v>
      </c>
      <c r="O60" s="34">
        <v>231.33332999999999</v>
      </c>
      <c r="Q60" s="59" t="s">
        <v>100</v>
      </c>
      <c r="R60" s="34">
        <v>3624.4</v>
      </c>
      <c r="S60" s="34">
        <v>3495.9</v>
      </c>
    </row>
    <row r="61" spans="1:19" x14ac:dyDescent="0.35">
      <c r="A61" s="112">
        <v>41</v>
      </c>
      <c r="B61" s="6" t="s">
        <v>46</v>
      </c>
      <c r="C61" s="38">
        <v>0</v>
      </c>
      <c r="D61" s="6">
        <v>0</v>
      </c>
      <c r="E61" s="6">
        <v>7</v>
      </c>
      <c r="F61" s="6">
        <v>7</v>
      </c>
      <c r="G61" s="7"/>
      <c r="H61" s="7">
        <v>0</v>
      </c>
      <c r="I61" s="7">
        <v>0</v>
      </c>
      <c r="J61" s="7">
        <v>55.33</v>
      </c>
      <c r="K61" s="7">
        <v>55.33</v>
      </c>
      <c r="M61" s="34">
        <v>0</v>
      </c>
      <c r="N61" s="34">
        <v>293.33332999999999</v>
      </c>
      <c r="O61" s="34">
        <v>293.33332999999999</v>
      </c>
      <c r="Q61" s="34">
        <v>0</v>
      </c>
      <c r="R61" s="34">
        <v>5384.89</v>
      </c>
      <c r="S61" s="34">
        <v>5384.89</v>
      </c>
    </row>
    <row r="62" spans="1:19" x14ac:dyDescent="0.35">
      <c r="A62" s="112">
        <v>42</v>
      </c>
      <c r="B62" s="6" t="s">
        <v>47</v>
      </c>
      <c r="C62" s="6">
        <v>0</v>
      </c>
      <c r="D62" s="6">
        <v>0</v>
      </c>
      <c r="E62" s="6">
        <v>0</v>
      </c>
      <c r="F62" s="6">
        <v>0</v>
      </c>
      <c r="G62" s="7"/>
      <c r="H62" s="7">
        <v>0</v>
      </c>
      <c r="I62" s="7">
        <v>0</v>
      </c>
      <c r="J62" s="7">
        <v>0</v>
      </c>
      <c r="K62" s="7">
        <v>0</v>
      </c>
      <c r="M62" s="34">
        <v>0</v>
      </c>
      <c r="N62" s="34">
        <v>0</v>
      </c>
      <c r="O62" s="34">
        <v>0</v>
      </c>
      <c r="Q62" s="34">
        <v>0</v>
      </c>
      <c r="R62" s="34">
        <v>0</v>
      </c>
      <c r="S62" s="34">
        <v>0</v>
      </c>
    </row>
    <row r="63" spans="1:19" x14ac:dyDescent="0.35">
      <c r="A63" s="112">
        <v>43</v>
      </c>
      <c r="B63" s="6" t="s">
        <v>48</v>
      </c>
      <c r="C63" s="38">
        <v>9</v>
      </c>
      <c r="D63" s="6">
        <v>1</v>
      </c>
      <c r="E63" s="6">
        <v>32</v>
      </c>
      <c r="F63" s="6">
        <v>42</v>
      </c>
      <c r="G63" s="7"/>
      <c r="H63" s="7">
        <v>70.38</v>
      </c>
      <c r="I63" s="7">
        <v>62</v>
      </c>
      <c r="J63" s="7">
        <v>68.22</v>
      </c>
      <c r="K63" s="7">
        <v>68.53</v>
      </c>
      <c r="M63" s="34">
        <v>237.77142999999998</v>
      </c>
      <c r="N63" s="34">
        <v>284.37669</v>
      </c>
      <c r="O63" s="34">
        <v>273.85291999999998</v>
      </c>
      <c r="Q63" s="34">
        <v>3354.62</v>
      </c>
      <c r="R63" s="34">
        <v>4040.61</v>
      </c>
      <c r="S63" s="34">
        <v>3885.71</v>
      </c>
    </row>
    <row r="64" spans="1:19" x14ac:dyDescent="0.35">
      <c r="A64" s="112">
        <v>44</v>
      </c>
      <c r="B64" s="6" t="s">
        <v>49</v>
      </c>
      <c r="C64" s="38">
        <v>5</v>
      </c>
      <c r="D64" s="6">
        <v>0</v>
      </c>
      <c r="E64" s="6">
        <v>51</v>
      </c>
      <c r="F64" s="6">
        <v>56</v>
      </c>
      <c r="G64" s="7"/>
      <c r="H64" s="7">
        <v>58.5</v>
      </c>
      <c r="I64" s="7">
        <v>0</v>
      </c>
      <c r="J64" s="7">
        <v>69.91</v>
      </c>
      <c r="K64" s="7">
        <v>68.98</v>
      </c>
      <c r="M64" s="34">
        <v>254.5</v>
      </c>
      <c r="N64" s="34">
        <v>297.39441999999997</v>
      </c>
      <c r="O64" s="34">
        <v>293.74383</v>
      </c>
      <c r="Q64" s="34">
        <v>4342.49</v>
      </c>
      <c r="R64" s="34">
        <v>4341.04</v>
      </c>
      <c r="S64" s="34">
        <v>4341.16</v>
      </c>
    </row>
    <row r="65" spans="1:19" x14ac:dyDescent="0.35">
      <c r="A65" s="112">
        <v>45</v>
      </c>
      <c r="B65" s="6" t="s">
        <v>50</v>
      </c>
      <c r="C65" s="38">
        <v>0</v>
      </c>
      <c r="D65" s="6">
        <v>0</v>
      </c>
      <c r="E65" s="6">
        <v>41</v>
      </c>
      <c r="F65" s="6">
        <v>41</v>
      </c>
      <c r="G65" s="7"/>
      <c r="H65" s="7">
        <v>0</v>
      </c>
      <c r="I65" s="7">
        <v>0</v>
      </c>
      <c r="J65" s="7">
        <v>62.89</v>
      </c>
      <c r="K65" s="7">
        <v>62.89</v>
      </c>
      <c r="M65" s="34">
        <v>0</v>
      </c>
      <c r="N65" s="34">
        <v>257.76744000000002</v>
      </c>
      <c r="O65" s="34">
        <v>257.76744000000002</v>
      </c>
      <c r="Q65" s="34">
        <v>0</v>
      </c>
      <c r="R65" s="34">
        <v>4145.4399999999996</v>
      </c>
      <c r="S65" s="34">
        <v>4145.4399999999996</v>
      </c>
    </row>
    <row r="66" spans="1:19" x14ac:dyDescent="0.35">
      <c r="A66" s="112">
        <v>46</v>
      </c>
      <c r="B66" s="6" t="s">
        <v>51</v>
      </c>
      <c r="C66" s="38">
        <v>0</v>
      </c>
      <c r="D66" s="6">
        <v>0</v>
      </c>
      <c r="E66" s="6">
        <v>54</v>
      </c>
      <c r="F66" s="6">
        <v>54</v>
      </c>
      <c r="G66" s="7"/>
      <c r="H66" s="7">
        <v>0</v>
      </c>
      <c r="I66" s="7">
        <v>0</v>
      </c>
      <c r="J66" s="7">
        <v>59.29</v>
      </c>
      <c r="K66" s="7">
        <v>59.29</v>
      </c>
      <c r="M66" s="34">
        <v>0</v>
      </c>
      <c r="N66" s="34">
        <v>188.06321</v>
      </c>
      <c r="O66" s="34">
        <v>188.06321</v>
      </c>
      <c r="Q66" s="34">
        <v>0</v>
      </c>
      <c r="R66" s="34">
        <v>3126.2</v>
      </c>
      <c r="S66" s="34">
        <v>3126.2</v>
      </c>
    </row>
    <row r="67" spans="1:19" x14ac:dyDescent="0.35">
      <c r="A67" s="112">
        <v>47</v>
      </c>
      <c r="B67" s="6" t="s">
        <v>52</v>
      </c>
      <c r="C67" s="6">
        <v>0</v>
      </c>
      <c r="D67" s="6">
        <v>0</v>
      </c>
      <c r="E67" s="6">
        <v>0</v>
      </c>
      <c r="F67" s="6">
        <v>0</v>
      </c>
      <c r="G67" s="7"/>
      <c r="H67" s="7">
        <v>0</v>
      </c>
      <c r="I67" s="7">
        <v>0</v>
      </c>
      <c r="J67" s="7">
        <v>0</v>
      </c>
      <c r="K67" s="7">
        <v>0</v>
      </c>
      <c r="M67" s="34">
        <v>0</v>
      </c>
      <c r="N67" s="34">
        <v>0</v>
      </c>
      <c r="O67" s="34">
        <v>0</v>
      </c>
      <c r="Q67" s="34">
        <v>0</v>
      </c>
      <c r="R67" s="34">
        <v>0</v>
      </c>
      <c r="S67" s="34">
        <v>0</v>
      </c>
    </row>
    <row r="68" spans="1:19" x14ac:dyDescent="0.35">
      <c r="A68" s="112">
        <v>48</v>
      </c>
      <c r="B68" s="6" t="s">
        <v>53</v>
      </c>
      <c r="C68" s="38">
        <v>0</v>
      </c>
      <c r="D68" s="6">
        <v>0</v>
      </c>
      <c r="E68" s="6">
        <v>31</v>
      </c>
      <c r="F68" s="6">
        <v>31</v>
      </c>
      <c r="G68" s="7"/>
      <c r="H68" s="7">
        <v>0</v>
      </c>
      <c r="I68" s="7">
        <v>0</v>
      </c>
      <c r="J68" s="7">
        <v>74</v>
      </c>
      <c r="K68" s="7">
        <v>74</v>
      </c>
      <c r="M68" s="34">
        <v>0</v>
      </c>
      <c r="N68" s="34">
        <v>226.81764999999999</v>
      </c>
      <c r="O68" s="34">
        <v>226.81764999999999</v>
      </c>
      <c r="Q68" s="34">
        <v>0</v>
      </c>
      <c r="R68" s="34">
        <v>3062.49</v>
      </c>
      <c r="S68" s="34">
        <v>3062.49</v>
      </c>
    </row>
    <row r="69" spans="1:19" x14ac:dyDescent="0.35">
      <c r="A69" s="112">
        <v>49</v>
      </c>
      <c r="B69" s="6" t="s">
        <v>54</v>
      </c>
      <c r="C69" s="38">
        <v>0</v>
      </c>
      <c r="D69" s="6">
        <v>0</v>
      </c>
      <c r="E69" s="6">
        <v>17</v>
      </c>
      <c r="F69" s="6">
        <v>17</v>
      </c>
      <c r="G69" s="7"/>
      <c r="H69" s="7">
        <v>0</v>
      </c>
      <c r="I69" s="7">
        <v>0</v>
      </c>
      <c r="J69" s="7">
        <v>71</v>
      </c>
      <c r="K69" s="7">
        <v>71</v>
      </c>
      <c r="M69" s="34">
        <v>0</v>
      </c>
      <c r="N69" s="34">
        <v>195.5</v>
      </c>
      <c r="O69" s="34">
        <v>195.5</v>
      </c>
      <c r="Q69" s="34">
        <v>0</v>
      </c>
      <c r="R69" s="34">
        <v>2769.26</v>
      </c>
      <c r="S69" s="34">
        <v>2769.26</v>
      </c>
    </row>
    <row r="70" spans="1:19" x14ac:dyDescent="0.35">
      <c r="A70" s="112">
        <v>50</v>
      </c>
      <c r="B70" s="6" t="s">
        <v>55</v>
      </c>
      <c r="C70" s="38">
        <v>0</v>
      </c>
      <c r="D70" s="6">
        <v>0</v>
      </c>
      <c r="E70" s="6">
        <v>53</v>
      </c>
      <c r="F70" s="6">
        <v>53</v>
      </c>
      <c r="G70" s="7"/>
      <c r="H70" s="7">
        <v>0</v>
      </c>
      <c r="I70" s="7">
        <v>0</v>
      </c>
      <c r="J70" s="7">
        <v>54.87</v>
      </c>
      <c r="K70" s="7">
        <v>54.87</v>
      </c>
      <c r="M70" s="34">
        <v>0</v>
      </c>
      <c r="N70" s="34">
        <v>132.32147000000001</v>
      </c>
      <c r="O70" s="34">
        <v>132.32147000000001</v>
      </c>
      <c r="Q70" s="34">
        <v>0</v>
      </c>
      <c r="R70" s="34">
        <v>2824.2</v>
      </c>
      <c r="S70" s="34">
        <v>2824.2</v>
      </c>
    </row>
    <row r="71" spans="1:19" x14ac:dyDescent="0.35">
      <c r="A71" s="112">
        <v>51</v>
      </c>
      <c r="B71" s="6" t="s">
        <v>56</v>
      </c>
      <c r="C71" s="38">
        <v>0</v>
      </c>
      <c r="D71" s="6">
        <v>0</v>
      </c>
      <c r="E71" s="6">
        <v>40</v>
      </c>
      <c r="F71" s="6">
        <v>40</v>
      </c>
      <c r="G71" s="7"/>
      <c r="H71" s="7">
        <v>0</v>
      </c>
      <c r="I71" s="7">
        <v>0</v>
      </c>
      <c r="J71" s="7">
        <v>55.47</v>
      </c>
      <c r="K71" s="7">
        <v>55.47</v>
      </c>
      <c r="M71" s="34">
        <v>0</v>
      </c>
      <c r="N71" s="34">
        <v>188.58500000000001</v>
      </c>
      <c r="O71" s="34">
        <v>188.58500000000001</v>
      </c>
      <c r="Q71" s="34">
        <v>0</v>
      </c>
      <c r="R71" s="34">
        <v>3610.8</v>
      </c>
      <c r="S71" s="34">
        <v>3610.8</v>
      </c>
    </row>
    <row r="72" spans="1:19" x14ac:dyDescent="0.35">
      <c r="A72" s="112">
        <v>52</v>
      </c>
      <c r="B72" s="6" t="s">
        <v>57</v>
      </c>
      <c r="C72" s="38">
        <v>4</v>
      </c>
      <c r="D72" s="6">
        <v>0</v>
      </c>
      <c r="E72" s="6">
        <v>55</v>
      </c>
      <c r="F72" s="6">
        <v>59</v>
      </c>
      <c r="G72" s="7"/>
      <c r="H72" s="7">
        <v>65.5</v>
      </c>
      <c r="I72" s="7">
        <v>0</v>
      </c>
      <c r="J72" s="7">
        <v>57.8</v>
      </c>
      <c r="K72" s="7">
        <v>58.43</v>
      </c>
      <c r="M72" s="34">
        <v>303.5</v>
      </c>
      <c r="N72" s="34">
        <v>185.49767</v>
      </c>
      <c r="O72" s="34">
        <v>195.75873999999999</v>
      </c>
      <c r="Q72" s="34">
        <v>4628.63</v>
      </c>
      <c r="R72" s="34">
        <v>3169.35</v>
      </c>
      <c r="S72" s="34">
        <v>3296.24</v>
      </c>
    </row>
    <row r="73" spans="1:19" x14ac:dyDescent="0.35">
      <c r="A73" s="112">
        <v>53</v>
      </c>
      <c r="B73" s="6" t="s">
        <v>58</v>
      </c>
      <c r="C73" s="38">
        <v>0</v>
      </c>
      <c r="D73" s="6">
        <v>0</v>
      </c>
      <c r="E73" s="6">
        <v>26</v>
      </c>
      <c r="F73" s="6">
        <v>26</v>
      </c>
      <c r="G73" s="7"/>
      <c r="H73" s="7">
        <v>0</v>
      </c>
      <c r="I73" s="7">
        <v>0</v>
      </c>
      <c r="J73" s="7">
        <v>63</v>
      </c>
      <c r="K73" s="7">
        <v>63</v>
      </c>
      <c r="M73" s="34">
        <v>0</v>
      </c>
      <c r="N73" s="34">
        <v>159.63333</v>
      </c>
      <c r="O73" s="34">
        <v>159.63333</v>
      </c>
      <c r="Q73" s="34">
        <v>0</v>
      </c>
      <c r="R73" s="34">
        <v>2628.26</v>
      </c>
      <c r="S73" s="34">
        <v>2628.26</v>
      </c>
    </row>
    <row r="74" spans="1:19" x14ac:dyDescent="0.35">
      <c r="A74" s="112">
        <v>54</v>
      </c>
      <c r="B74" s="6" t="s">
        <v>59</v>
      </c>
      <c r="C74" s="38">
        <v>0</v>
      </c>
      <c r="D74" s="6">
        <v>0</v>
      </c>
      <c r="E74" s="6">
        <v>3</v>
      </c>
      <c r="F74" s="6">
        <v>3</v>
      </c>
      <c r="G74" s="7"/>
      <c r="H74" s="7">
        <v>0</v>
      </c>
      <c r="I74" s="7">
        <v>0</v>
      </c>
      <c r="J74" s="7">
        <v>57</v>
      </c>
      <c r="K74" s="7">
        <v>57</v>
      </c>
      <c r="M74" s="34">
        <v>0</v>
      </c>
      <c r="N74" s="34">
        <v>174</v>
      </c>
      <c r="O74" s="34">
        <v>174</v>
      </c>
      <c r="Q74" s="34">
        <v>0</v>
      </c>
      <c r="R74" s="34">
        <v>2801.14</v>
      </c>
      <c r="S74" s="34">
        <v>2801.14</v>
      </c>
    </row>
    <row r="75" spans="1:19" x14ac:dyDescent="0.35">
      <c r="A75" s="112">
        <v>55</v>
      </c>
      <c r="B75" s="6" t="s">
        <v>60</v>
      </c>
      <c r="C75" s="38">
        <v>0</v>
      </c>
      <c r="D75" s="6">
        <v>0</v>
      </c>
      <c r="E75" s="6">
        <v>49</v>
      </c>
      <c r="F75" s="6">
        <v>49</v>
      </c>
      <c r="G75" s="7"/>
      <c r="H75" s="7">
        <v>0</v>
      </c>
      <c r="I75" s="7">
        <v>0</v>
      </c>
      <c r="J75" s="7">
        <v>57.7</v>
      </c>
      <c r="K75" s="7">
        <v>57.7</v>
      </c>
      <c r="M75" s="34">
        <v>0</v>
      </c>
      <c r="N75" s="34">
        <v>104.41044000000001</v>
      </c>
      <c r="O75" s="34">
        <v>104.41044000000001</v>
      </c>
      <c r="Q75" s="34">
        <v>0</v>
      </c>
      <c r="R75" s="34">
        <v>1812.07</v>
      </c>
      <c r="S75" s="34">
        <v>1812.07</v>
      </c>
    </row>
    <row r="76" spans="1:19" x14ac:dyDescent="0.35">
      <c r="A76" s="112">
        <v>56</v>
      </c>
      <c r="B76" s="6" t="s">
        <v>78</v>
      </c>
      <c r="C76" s="38">
        <v>0</v>
      </c>
      <c r="D76" s="6">
        <v>0</v>
      </c>
      <c r="E76" s="6">
        <v>3</v>
      </c>
      <c r="F76" s="6">
        <v>3</v>
      </c>
      <c r="G76" s="7"/>
      <c r="H76" s="7">
        <v>0</v>
      </c>
      <c r="I76" s="7">
        <v>0</v>
      </c>
      <c r="J76" s="7">
        <v>55</v>
      </c>
      <c r="K76" s="7">
        <v>55</v>
      </c>
      <c r="M76" s="34">
        <v>0</v>
      </c>
      <c r="N76" s="34">
        <v>0</v>
      </c>
      <c r="O76" s="34">
        <v>0</v>
      </c>
      <c r="Q76" s="34">
        <v>0</v>
      </c>
      <c r="R76" s="34">
        <v>0</v>
      </c>
      <c r="S76" s="34">
        <v>0</v>
      </c>
    </row>
    <row r="77" spans="1:19" x14ac:dyDescent="0.35">
      <c r="A77" s="112">
        <v>57</v>
      </c>
      <c r="B77" s="6" t="s">
        <v>61</v>
      </c>
      <c r="C77" s="38">
        <v>0</v>
      </c>
      <c r="D77" s="6">
        <v>0</v>
      </c>
      <c r="E77" s="6">
        <v>36</v>
      </c>
      <c r="F77" s="6">
        <v>36</v>
      </c>
      <c r="G77" s="7"/>
      <c r="H77" s="7">
        <v>0</v>
      </c>
      <c r="I77" s="7">
        <v>0</v>
      </c>
      <c r="J77" s="7">
        <v>62.71</v>
      </c>
      <c r="K77" s="7">
        <v>62.71</v>
      </c>
      <c r="M77" s="34">
        <v>0</v>
      </c>
      <c r="N77" s="34">
        <v>133.52180999999999</v>
      </c>
      <c r="O77" s="34">
        <v>133.52180999999999</v>
      </c>
      <c r="Q77" s="34">
        <v>0</v>
      </c>
      <c r="R77" s="34">
        <v>2165.0100000000002</v>
      </c>
      <c r="S77" s="34">
        <v>2165.0100000000002</v>
      </c>
    </row>
    <row r="78" spans="1:19" x14ac:dyDescent="0.35">
      <c r="A78" s="112">
        <v>58</v>
      </c>
      <c r="B78" s="6" t="s">
        <v>62</v>
      </c>
      <c r="C78" s="38">
        <v>0</v>
      </c>
      <c r="D78" s="6">
        <v>0</v>
      </c>
      <c r="E78" s="6">
        <v>4</v>
      </c>
      <c r="F78" s="6">
        <v>4</v>
      </c>
      <c r="G78" s="7"/>
      <c r="H78" s="7">
        <v>0</v>
      </c>
      <c r="I78" s="7">
        <v>0</v>
      </c>
      <c r="J78" s="7">
        <v>72.5</v>
      </c>
      <c r="K78" s="7">
        <v>72.5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</row>
    <row r="79" spans="1:19" x14ac:dyDescent="0.35">
      <c r="A79" s="112">
        <v>59</v>
      </c>
      <c r="B79" s="6" t="s">
        <v>63</v>
      </c>
      <c r="C79" s="38">
        <v>2</v>
      </c>
      <c r="D79" s="6">
        <v>0</v>
      </c>
      <c r="E79" s="6">
        <v>45</v>
      </c>
      <c r="F79" s="6">
        <v>47</v>
      </c>
      <c r="G79" s="7"/>
      <c r="H79" s="7">
        <v>67.5</v>
      </c>
      <c r="I79" s="7">
        <v>0</v>
      </c>
      <c r="J79" s="7">
        <v>65.680000000000007</v>
      </c>
      <c r="K79" s="7">
        <v>65.78</v>
      </c>
      <c r="M79" s="59" t="s">
        <v>100</v>
      </c>
      <c r="N79" s="34">
        <v>193.98823000000002</v>
      </c>
      <c r="O79" s="34">
        <v>192.98894000000001</v>
      </c>
      <c r="Q79" s="59" t="s">
        <v>100</v>
      </c>
      <c r="R79" s="34">
        <v>2854.47</v>
      </c>
      <c r="S79" s="34">
        <v>2843.33</v>
      </c>
    </row>
    <row r="80" spans="1:19" x14ac:dyDescent="0.35">
      <c r="A80" s="112">
        <v>60</v>
      </c>
      <c r="B80" s="6" t="s">
        <v>64</v>
      </c>
      <c r="C80" s="38">
        <v>2</v>
      </c>
      <c r="D80" s="6">
        <v>1</v>
      </c>
      <c r="E80" s="6">
        <v>103</v>
      </c>
      <c r="F80" s="6">
        <v>106</v>
      </c>
      <c r="G80" s="7"/>
      <c r="H80" s="7">
        <v>85.5</v>
      </c>
      <c r="I80" s="7">
        <v>78</v>
      </c>
      <c r="J80" s="7">
        <v>76.790000000000006</v>
      </c>
      <c r="K80" s="7">
        <v>76.97</v>
      </c>
      <c r="M80" s="34">
        <v>452.5</v>
      </c>
      <c r="N80" s="34">
        <v>326.08371999999997</v>
      </c>
      <c r="O80" s="34">
        <v>328.95681999999999</v>
      </c>
      <c r="Q80" s="34">
        <v>5287.51</v>
      </c>
      <c r="R80" s="34">
        <v>4295.97</v>
      </c>
      <c r="S80" s="34">
        <v>4318.5</v>
      </c>
    </row>
    <row r="81" spans="1:19" x14ac:dyDescent="0.35">
      <c r="A81" s="112">
        <v>61</v>
      </c>
      <c r="B81" s="6" t="s">
        <v>65</v>
      </c>
      <c r="C81" s="38">
        <v>0</v>
      </c>
      <c r="D81" s="6">
        <v>0</v>
      </c>
      <c r="E81" s="6">
        <v>80</v>
      </c>
      <c r="F81" s="6">
        <v>80</v>
      </c>
      <c r="G81" s="7"/>
      <c r="H81" s="7">
        <v>0</v>
      </c>
      <c r="I81" s="7">
        <v>0</v>
      </c>
      <c r="J81" s="7">
        <v>72.62</v>
      </c>
      <c r="K81" s="7">
        <v>72.62</v>
      </c>
      <c r="M81" s="34">
        <v>0</v>
      </c>
      <c r="N81" s="34">
        <v>312.27716999999996</v>
      </c>
      <c r="O81" s="34">
        <v>312.27716999999996</v>
      </c>
      <c r="Q81" s="34">
        <v>0</v>
      </c>
      <c r="R81" s="34">
        <v>4503.7700000000004</v>
      </c>
      <c r="S81" s="34">
        <v>4503.7700000000004</v>
      </c>
    </row>
    <row r="82" spans="1:19" x14ac:dyDescent="0.35">
      <c r="A82" s="112">
        <v>62</v>
      </c>
      <c r="B82" s="6" t="s">
        <v>66</v>
      </c>
      <c r="C82" s="38">
        <v>0</v>
      </c>
      <c r="D82" s="6">
        <v>0</v>
      </c>
      <c r="E82" s="6">
        <v>28</v>
      </c>
      <c r="F82" s="6">
        <v>28</v>
      </c>
      <c r="G82" s="7"/>
      <c r="H82" s="7">
        <v>0</v>
      </c>
      <c r="I82" s="7">
        <v>0</v>
      </c>
      <c r="J82" s="7">
        <v>84.08</v>
      </c>
      <c r="K82" s="7">
        <v>84.08</v>
      </c>
      <c r="M82" s="34">
        <v>0</v>
      </c>
      <c r="N82" s="34">
        <v>321.69663000000003</v>
      </c>
      <c r="O82" s="34">
        <v>321.69663000000003</v>
      </c>
      <c r="Q82" s="34">
        <v>0</v>
      </c>
      <c r="R82" s="34">
        <v>3852.12</v>
      </c>
      <c r="S82" s="34">
        <v>3852.12</v>
      </c>
    </row>
    <row r="83" spans="1:19" x14ac:dyDescent="0.35">
      <c r="A83" s="112">
        <v>63</v>
      </c>
      <c r="B83" s="1" t="s">
        <v>67</v>
      </c>
      <c r="C83" s="38">
        <v>0</v>
      </c>
      <c r="D83" s="6">
        <v>0</v>
      </c>
      <c r="E83" s="6">
        <v>46</v>
      </c>
      <c r="F83" s="6">
        <v>46</v>
      </c>
      <c r="G83" s="7"/>
      <c r="H83" s="7">
        <v>0</v>
      </c>
      <c r="I83" s="7">
        <v>0</v>
      </c>
      <c r="J83" s="7">
        <v>68.489999999999995</v>
      </c>
      <c r="K83" s="7">
        <v>68.489999999999995</v>
      </c>
      <c r="M83" s="34">
        <v>0</v>
      </c>
      <c r="N83" s="34">
        <v>301.88081</v>
      </c>
      <c r="O83" s="34">
        <v>301.88081</v>
      </c>
      <c r="Q83" s="34">
        <v>0</v>
      </c>
      <c r="R83" s="34">
        <v>4729.55</v>
      </c>
      <c r="S83" s="34">
        <v>4729.55</v>
      </c>
    </row>
    <row r="84" spans="1:19" x14ac:dyDescent="0.35">
      <c r="A84" s="112">
        <v>64</v>
      </c>
      <c r="B84" s="1" t="s">
        <v>68</v>
      </c>
      <c r="C84" s="38">
        <v>0</v>
      </c>
      <c r="D84" s="6">
        <v>0</v>
      </c>
      <c r="E84" s="6">
        <v>71</v>
      </c>
      <c r="F84" s="6">
        <v>71</v>
      </c>
      <c r="G84" s="7"/>
      <c r="H84" s="7">
        <v>0</v>
      </c>
      <c r="I84" s="7">
        <v>0</v>
      </c>
      <c r="J84" s="7">
        <v>70.56</v>
      </c>
      <c r="K84" s="7">
        <v>70.56</v>
      </c>
      <c r="M84" s="34">
        <v>0</v>
      </c>
      <c r="N84" s="34">
        <v>317.34416999999996</v>
      </c>
      <c r="O84" s="34">
        <v>317.34416999999996</v>
      </c>
      <c r="Q84" s="34">
        <v>0</v>
      </c>
      <c r="R84" s="34">
        <v>4607.3100000000004</v>
      </c>
      <c r="S84" s="34">
        <v>4607.3100000000004</v>
      </c>
    </row>
    <row r="85" spans="1:19" x14ac:dyDescent="0.35">
      <c r="A85" s="112">
        <v>65</v>
      </c>
      <c r="B85" s="1" t="s">
        <v>69</v>
      </c>
      <c r="C85" s="38">
        <v>1</v>
      </c>
      <c r="D85" s="6">
        <v>0</v>
      </c>
      <c r="E85" s="6">
        <v>59</v>
      </c>
      <c r="F85" s="6">
        <v>60</v>
      </c>
      <c r="G85" s="7"/>
      <c r="H85" s="7">
        <v>49</v>
      </c>
      <c r="I85" s="7">
        <v>0</v>
      </c>
      <c r="J85" s="7">
        <v>70.959999999999994</v>
      </c>
      <c r="K85" s="7">
        <v>70.540000000000006</v>
      </c>
      <c r="M85" s="59" t="s">
        <v>100</v>
      </c>
      <c r="N85" s="34">
        <v>353.22224999999997</v>
      </c>
      <c r="O85" s="34">
        <v>349.62165000000005</v>
      </c>
      <c r="Q85" s="59" t="s">
        <v>100</v>
      </c>
      <c r="R85" s="34">
        <v>5018.5200000000004</v>
      </c>
      <c r="S85" s="34">
        <v>5004.2299999999996</v>
      </c>
    </row>
    <row r="86" spans="1:19" x14ac:dyDescent="0.35">
      <c r="A86" s="112">
        <v>66</v>
      </c>
      <c r="B86" s="1" t="s">
        <v>70</v>
      </c>
      <c r="C86" s="38">
        <v>1</v>
      </c>
      <c r="D86" s="6">
        <v>0</v>
      </c>
      <c r="E86" s="6">
        <v>28</v>
      </c>
      <c r="F86" s="6">
        <v>29</v>
      </c>
      <c r="G86" s="7"/>
      <c r="H86" s="7">
        <v>66</v>
      </c>
      <c r="I86" s="7">
        <v>0</v>
      </c>
      <c r="J86" s="7">
        <v>70.11</v>
      </c>
      <c r="K86" s="7">
        <v>69.97</v>
      </c>
      <c r="M86" s="59" t="s">
        <v>100</v>
      </c>
      <c r="N86" s="34">
        <v>374.42856999999998</v>
      </c>
      <c r="O86" s="34">
        <v>397.17240999999996</v>
      </c>
      <c r="Q86" s="59" t="s">
        <v>100</v>
      </c>
      <c r="R86" s="34">
        <v>5319.66</v>
      </c>
      <c r="S86" s="34">
        <v>5676.45</v>
      </c>
    </row>
    <row r="87" spans="1:19" x14ac:dyDescent="0.35">
      <c r="A87" s="112">
        <v>67</v>
      </c>
      <c r="B87" s="1" t="s">
        <v>71</v>
      </c>
      <c r="C87" s="38">
        <v>0</v>
      </c>
      <c r="D87" s="6">
        <v>0</v>
      </c>
      <c r="E87" s="6">
        <v>8</v>
      </c>
      <c r="F87" s="6">
        <v>8</v>
      </c>
      <c r="G87" s="7"/>
      <c r="H87" s="7">
        <v>0</v>
      </c>
      <c r="I87" s="7">
        <v>0</v>
      </c>
      <c r="J87" s="7">
        <v>115.57</v>
      </c>
      <c r="K87" s="7">
        <v>115.57</v>
      </c>
      <c r="M87" s="34">
        <v>0</v>
      </c>
      <c r="N87" s="34">
        <v>719.39724999999999</v>
      </c>
      <c r="O87" s="34">
        <v>719.39724999999999</v>
      </c>
      <c r="Q87" s="34">
        <v>0</v>
      </c>
      <c r="R87" s="34">
        <v>6272.29</v>
      </c>
      <c r="S87" s="34">
        <v>6272.29</v>
      </c>
    </row>
    <row r="88" spans="1:19" x14ac:dyDescent="0.35">
      <c r="A88" s="112">
        <v>68</v>
      </c>
      <c r="B88" s="1" t="s">
        <v>72</v>
      </c>
      <c r="C88" s="38">
        <v>9</v>
      </c>
      <c r="D88" s="6">
        <v>0</v>
      </c>
      <c r="E88" s="6">
        <v>71</v>
      </c>
      <c r="F88" s="6">
        <v>80</v>
      </c>
      <c r="G88" s="7"/>
      <c r="H88" s="7">
        <v>98.56</v>
      </c>
      <c r="I88" s="7">
        <v>0</v>
      </c>
      <c r="J88" s="7">
        <v>67.209999999999994</v>
      </c>
      <c r="K88" s="7">
        <v>70.92</v>
      </c>
      <c r="M88" s="34">
        <v>580.81110999999999</v>
      </c>
      <c r="N88" s="34">
        <v>408.6875</v>
      </c>
      <c r="O88" s="34">
        <v>429.90821999999997</v>
      </c>
      <c r="Q88" s="34">
        <v>5956.33</v>
      </c>
      <c r="R88" s="34">
        <v>6138.7</v>
      </c>
      <c r="S88" s="34">
        <v>6116.22</v>
      </c>
    </row>
    <row r="89" spans="1:19" x14ac:dyDescent="0.35">
      <c r="A89" s="112">
        <v>69</v>
      </c>
      <c r="B89" s="1" t="s">
        <v>73</v>
      </c>
      <c r="C89" s="38">
        <v>7</v>
      </c>
      <c r="D89" s="6">
        <v>2</v>
      </c>
      <c r="E89" s="6">
        <v>42</v>
      </c>
      <c r="F89" s="6">
        <v>51</v>
      </c>
      <c r="G89" s="7"/>
      <c r="H89" s="7">
        <v>70.83</v>
      </c>
      <c r="I89" s="7">
        <v>69.5</v>
      </c>
      <c r="J89" s="7">
        <v>85.77</v>
      </c>
      <c r="K89" s="7">
        <v>83.17</v>
      </c>
      <c r="M89" s="34">
        <v>387.58332999999999</v>
      </c>
      <c r="N89" s="34">
        <v>538.79309999999998</v>
      </c>
      <c r="O89" s="34">
        <v>512.87141999999994</v>
      </c>
      <c r="Q89" s="34">
        <v>5493.5</v>
      </c>
      <c r="R89" s="34">
        <v>5745.49</v>
      </c>
      <c r="S89" s="34">
        <v>5702.29</v>
      </c>
    </row>
    <row r="90" spans="1:19" x14ac:dyDescent="0.35">
      <c r="A90" s="112">
        <v>70</v>
      </c>
      <c r="B90" s="1" t="s">
        <v>74</v>
      </c>
      <c r="C90" s="38">
        <v>3</v>
      </c>
      <c r="D90" s="6">
        <v>0</v>
      </c>
      <c r="E90" s="6">
        <v>81</v>
      </c>
      <c r="F90" s="6">
        <v>84</v>
      </c>
      <c r="G90" s="7"/>
      <c r="H90" s="7">
        <v>67.33</v>
      </c>
      <c r="I90" s="7">
        <v>0</v>
      </c>
      <c r="J90" s="7">
        <v>65.14</v>
      </c>
      <c r="K90" s="7">
        <v>65.239999999999995</v>
      </c>
      <c r="M90" s="34">
        <v>313.66667000000001</v>
      </c>
      <c r="N90" s="34">
        <v>240.55710999999999</v>
      </c>
      <c r="O90" s="34">
        <v>244.33864000000003</v>
      </c>
      <c r="Q90" s="34">
        <v>4612.37</v>
      </c>
      <c r="R90" s="34">
        <v>3204.68</v>
      </c>
      <c r="S90" s="34">
        <v>3277.49</v>
      </c>
    </row>
    <row r="91" spans="1:19" x14ac:dyDescent="0.35">
      <c r="A91" s="112">
        <v>71</v>
      </c>
      <c r="B91" s="1" t="s">
        <v>75</v>
      </c>
      <c r="C91" s="38">
        <v>12</v>
      </c>
      <c r="D91" s="6">
        <v>4</v>
      </c>
      <c r="E91" s="6">
        <v>51</v>
      </c>
      <c r="F91" s="6">
        <v>67</v>
      </c>
      <c r="G91" s="7"/>
      <c r="H91" s="7">
        <v>82.7</v>
      </c>
      <c r="I91" s="7">
        <v>73.33</v>
      </c>
      <c r="J91" s="7">
        <v>77.739999999999995</v>
      </c>
      <c r="K91" s="7">
        <v>78.349999999999994</v>
      </c>
      <c r="M91" s="34">
        <v>664.57500000000005</v>
      </c>
      <c r="N91" s="34">
        <v>344.72381000000001</v>
      </c>
      <c r="O91" s="34">
        <v>412.77724999999998</v>
      </c>
      <c r="Q91" s="34">
        <v>7739.88</v>
      </c>
      <c r="R91" s="34">
        <v>4580.3599999999997</v>
      </c>
      <c r="S91" s="34">
        <v>5252.6</v>
      </c>
    </row>
    <row r="92" spans="1:19" x14ac:dyDescent="0.35">
      <c r="A92" s="112">
        <v>72</v>
      </c>
      <c r="B92" s="1" t="s">
        <v>76</v>
      </c>
      <c r="C92" s="38">
        <v>0</v>
      </c>
      <c r="D92" s="6">
        <v>0</v>
      </c>
      <c r="E92" s="6">
        <v>56</v>
      </c>
      <c r="F92" s="6">
        <v>56</v>
      </c>
      <c r="G92" s="7"/>
      <c r="H92" s="7">
        <v>0</v>
      </c>
      <c r="I92" s="7">
        <v>0</v>
      </c>
      <c r="J92" s="7">
        <v>71.489999999999995</v>
      </c>
      <c r="K92" s="7">
        <v>71.489999999999995</v>
      </c>
      <c r="M92" s="34">
        <v>0</v>
      </c>
      <c r="N92" s="34">
        <v>250.07923000000002</v>
      </c>
      <c r="O92" s="34">
        <v>250.07923000000002</v>
      </c>
      <c r="Q92" s="34">
        <v>0</v>
      </c>
      <c r="R92" s="34">
        <v>3653.6</v>
      </c>
      <c r="S92" s="34">
        <v>3653.6</v>
      </c>
    </row>
    <row r="93" spans="1:19" x14ac:dyDescent="0.35">
      <c r="A93" s="113">
        <v>73</v>
      </c>
      <c r="B93" s="24" t="s">
        <v>77</v>
      </c>
      <c r="C93" s="38">
        <v>0</v>
      </c>
      <c r="D93" s="6">
        <v>0</v>
      </c>
      <c r="E93" s="6">
        <v>58</v>
      </c>
      <c r="F93" s="6">
        <v>58</v>
      </c>
      <c r="G93" s="7"/>
      <c r="H93" s="7">
        <v>0</v>
      </c>
      <c r="I93" s="7">
        <v>0</v>
      </c>
      <c r="J93" s="7">
        <v>75.180000000000007</v>
      </c>
      <c r="K93" s="7">
        <v>75.180000000000007</v>
      </c>
      <c r="M93" s="34">
        <v>0</v>
      </c>
      <c r="N93" s="34">
        <v>246.80006</v>
      </c>
      <c r="O93" s="34">
        <v>246.80006</v>
      </c>
      <c r="Q93" s="34">
        <v>0</v>
      </c>
      <c r="R93" s="34">
        <v>3374.61</v>
      </c>
      <c r="S93" s="34">
        <v>3374.61</v>
      </c>
    </row>
    <row r="94" spans="1:19" x14ac:dyDescent="0.35">
      <c r="C94" s="47"/>
      <c r="D94" s="47"/>
      <c r="E94" s="47"/>
      <c r="F94" s="48"/>
      <c r="G94" s="48"/>
      <c r="H94" s="49"/>
      <c r="I94" s="50"/>
      <c r="J94" s="50"/>
      <c r="K94" s="50"/>
      <c r="L94" s="50"/>
      <c r="M94" s="51"/>
      <c r="N94" s="51"/>
      <c r="O94" s="51"/>
      <c r="P94" s="51"/>
      <c r="Q94" s="51"/>
      <c r="R94" s="51"/>
      <c r="S94" s="51"/>
    </row>
    <row r="95" spans="1:19" x14ac:dyDescent="0.35">
      <c r="B95" s="114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54C0-3F45-4D92-80D8-EA9049E5AF16}">
  <dimension ref="A1:T95"/>
  <sheetViews>
    <sheetView workbookViewId="0">
      <selection activeCell="A2" sqref="A2"/>
    </sheetView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19" width="10.73046875" style="34" customWidth="1"/>
    <col min="20" max="16384" width="11.3984375" style="1"/>
  </cols>
  <sheetData>
    <row r="1" spans="1:20" ht="13.9" x14ac:dyDescent="0.4">
      <c r="A1" s="2" t="s">
        <v>91</v>
      </c>
    </row>
    <row r="2" spans="1:20" ht="13.15" x14ac:dyDescent="0.4">
      <c r="A2" s="31" t="s">
        <v>106</v>
      </c>
    </row>
    <row r="4" spans="1:20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20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58"/>
      <c r="Q5" s="54" t="s">
        <v>5</v>
      </c>
      <c r="R5" s="54" t="s">
        <v>2</v>
      </c>
      <c r="S5" s="54" t="s">
        <v>3</v>
      </c>
    </row>
    <row r="6" spans="1:20" s="3" customFormat="1" x14ac:dyDescent="0.35">
      <c r="B6" s="103" t="s">
        <v>94</v>
      </c>
      <c r="C6" s="6">
        <v>1050</v>
      </c>
      <c r="D6" s="6">
        <v>56</v>
      </c>
      <c r="E6" s="6">
        <v>10917</v>
      </c>
      <c r="F6" s="6">
        <v>12023</v>
      </c>
      <c r="G6" s="6"/>
      <c r="H6" s="1">
        <v>81.27</v>
      </c>
      <c r="I6" s="7">
        <v>74.02</v>
      </c>
      <c r="J6" s="7">
        <v>79.86</v>
      </c>
      <c r="K6" s="7">
        <v>79.95</v>
      </c>
      <c r="L6" s="7"/>
      <c r="M6" s="34">
        <v>446.35838000000001</v>
      </c>
      <c r="N6" s="34">
        <v>394.55147999999997</v>
      </c>
      <c r="O6" s="34">
        <v>399.24071999999995</v>
      </c>
      <c r="P6" s="34"/>
      <c r="Q6" s="34">
        <v>5324.21</v>
      </c>
      <c r="R6" s="34">
        <v>4691.03</v>
      </c>
      <c r="S6" s="34">
        <v>4748.34</v>
      </c>
      <c r="T6" s="34"/>
    </row>
    <row r="7" spans="1:20" s="3" customFormat="1" x14ac:dyDescent="0.35">
      <c r="C7" s="38"/>
      <c r="D7" s="38"/>
      <c r="E7" s="38"/>
      <c r="F7" s="38"/>
      <c r="H7" s="105"/>
      <c r="I7" s="105"/>
      <c r="J7" s="105"/>
      <c r="K7" s="105"/>
      <c r="L7" s="106"/>
      <c r="M7" s="107"/>
      <c r="N7" s="107"/>
      <c r="O7" s="107"/>
      <c r="P7" s="108"/>
      <c r="Q7" s="107"/>
      <c r="R7" s="107"/>
      <c r="S7" s="107"/>
    </row>
    <row r="8" spans="1:20" x14ac:dyDescent="0.35">
      <c r="B8" s="109" t="s">
        <v>88</v>
      </c>
      <c r="C8" s="110"/>
      <c r="D8" s="110"/>
      <c r="E8" s="110"/>
      <c r="F8" s="110"/>
      <c r="G8" s="110"/>
      <c r="H8" s="1"/>
      <c r="I8" s="111"/>
      <c r="J8" s="111"/>
      <c r="K8" s="111"/>
      <c r="L8" s="111"/>
      <c r="M8" s="59"/>
      <c r="O8" s="59"/>
      <c r="P8" s="59"/>
      <c r="Q8" s="59"/>
      <c r="R8" s="59"/>
      <c r="T8" s="59"/>
    </row>
    <row r="9" spans="1:20" s="3" customFormat="1" x14ac:dyDescent="0.35">
      <c r="A9" s="112">
        <v>1</v>
      </c>
      <c r="B9" s="3" t="s">
        <v>79</v>
      </c>
      <c r="C9" s="38">
        <v>80</v>
      </c>
      <c r="D9" s="38">
        <v>0</v>
      </c>
      <c r="E9" s="38">
        <v>1057</v>
      </c>
      <c r="F9" s="38">
        <v>1137</v>
      </c>
      <c r="G9" s="38"/>
      <c r="H9" s="3">
        <v>53.13</v>
      </c>
      <c r="I9" s="105">
        <v>0</v>
      </c>
      <c r="J9" s="105">
        <v>66.66</v>
      </c>
      <c r="K9" s="105">
        <v>65.97</v>
      </c>
      <c r="L9" s="105"/>
      <c r="M9" s="107">
        <v>294.85467</v>
      </c>
      <c r="N9" s="108">
        <v>280.00623999999999</v>
      </c>
      <c r="O9" s="107">
        <v>280.77014000000003</v>
      </c>
      <c r="P9" s="107"/>
      <c r="Q9" s="107">
        <v>5556.74</v>
      </c>
      <c r="R9" s="107">
        <v>4336.7700000000004</v>
      </c>
      <c r="S9" s="108">
        <v>4399.54</v>
      </c>
      <c r="T9" s="107"/>
    </row>
    <row r="10" spans="1:20" s="3" customFormat="1" x14ac:dyDescent="0.35">
      <c r="A10" s="112">
        <v>2</v>
      </c>
      <c r="B10" s="3" t="s">
        <v>80</v>
      </c>
      <c r="C10" s="38">
        <v>296</v>
      </c>
      <c r="D10" s="38">
        <v>16</v>
      </c>
      <c r="E10" s="38">
        <v>1560</v>
      </c>
      <c r="F10" s="38">
        <v>1872</v>
      </c>
      <c r="G10" s="38"/>
      <c r="H10" s="3">
        <v>94.11</v>
      </c>
      <c r="I10" s="105">
        <v>93.67</v>
      </c>
      <c r="J10" s="105">
        <v>92.08</v>
      </c>
      <c r="K10" s="105">
        <v>92.4</v>
      </c>
      <c r="L10" s="105"/>
      <c r="M10" s="107">
        <v>609.17869999999994</v>
      </c>
      <c r="N10" s="108">
        <v>532.27179000000001</v>
      </c>
      <c r="O10" s="107">
        <v>544.27489000000003</v>
      </c>
      <c r="P10" s="107"/>
      <c r="Q10" s="107">
        <v>6297.33</v>
      </c>
      <c r="R10" s="107">
        <v>5697.78</v>
      </c>
      <c r="S10" s="108">
        <v>5791.35</v>
      </c>
      <c r="T10" s="107"/>
    </row>
    <row r="11" spans="1:20" s="3" customFormat="1" x14ac:dyDescent="0.35">
      <c r="A11" s="112">
        <v>3</v>
      </c>
      <c r="B11" s="3" t="s">
        <v>81</v>
      </c>
      <c r="C11" s="38">
        <v>130</v>
      </c>
      <c r="D11" s="38">
        <v>8</v>
      </c>
      <c r="E11" s="38">
        <v>1306</v>
      </c>
      <c r="F11" s="38">
        <v>1444</v>
      </c>
      <c r="G11" s="38"/>
      <c r="H11" s="3">
        <v>69.44</v>
      </c>
      <c r="I11" s="105">
        <v>65.569999999999993</v>
      </c>
      <c r="J11" s="105">
        <v>66.540000000000006</v>
      </c>
      <c r="K11" s="105">
        <v>66.760000000000005</v>
      </c>
      <c r="L11" s="105"/>
      <c r="M11" s="107">
        <v>357.11253000000005</v>
      </c>
      <c r="N11" s="108">
        <v>287.48764</v>
      </c>
      <c r="O11" s="107">
        <v>293.39411999999999</v>
      </c>
      <c r="P11" s="107"/>
      <c r="Q11" s="107">
        <v>5178.76</v>
      </c>
      <c r="R11" s="107">
        <v>4422.28</v>
      </c>
      <c r="S11" s="108">
        <v>4486.45</v>
      </c>
      <c r="T11" s="107"/>
    </row>
    <row r="12" spans="1:20" s="3" customFormat="1" x14ac:dyDescent="0.35">
      <c r="A12" s="112">
        <v>4</v>
      </c>
      <c r="B12" s="3" t="s">
        <v>82</v>
      </c>
      <c r="C12" s="38">
        <v>12</v>
      </c>
      <c r="D12" s="38">
        <v>0</v>
      </c>
      <c r="E12" s="38">
        <v>505</v>
      </c>
      <c r="F12" s="38">
        <v>517</v>
      </c>
      <c r="G12" s="38"/>
      <c r="H12" s="3">
        <v>104.34</v>
      </c>
      <c r="I12" s="105">
        <v>0</v>
      </c>
      <c r="J12" s="105">
        <v>99.6</v>
      </c>
      <c r="K12" s="105">
        <v>99.69</v>
      </c>
      <c r="L12" s="105"/>
      <c r="M12" s="107">
        <v>638.72232999999994</v>
      </c>
      <c r="N12" s="108">
        <v>610.85585000000003</v>
      </c>
      <c r="O12" s="107">
        <v>611.45441000000005</v>
      </c>
      <c r="P12" s="107"/>
      <c r="Q12" s="107">
        <v>6092.17</v>
      </c>
      <c r="R12" s="107">
        <v>5818.65</v>
      </c>
      <c r="S12" s="108">
        <v>5824.53</v>
      </c>
      <c r="T12" s="107"/>
    </row>
    <row r="13" spans="1:20" s="3" customFormat="1" x14ac:dyDescent="0.35">
      <c r="A13" s="112">
        <v>5</v>
      </c>
      <c r="B13" s="3" t="s">
        <v>83</v>
      </c>
      <c r="C13" s="38">
        <v>55</v>
      </c>
      <c r="D13" s="38">
        <v>0</v>
      </c>
      <c r="E13" s="38">
        <v>1017</v>
      </c>
      <c r="F13" s="38">
        <v>1072</v>
      </c>
      <c r="G13" s="38"/>
      <c r="H13" s="3">
        <v>122.71</v>
      </c>
      <c r="I13" s="105">
        <v>0</v>
      </c>
      <c r="J13" s="105">
        <v>129.32</v>
      </c>
      <c r="K13" s="105">
        <v>128.99</v>
      </c>
      <c r="L13" s="105"/>
      <c r="M13" s="107">
        <v>836.69833999999992</v>
      </c>
      <c r="N13" s="108">
        <v>829.43214</v>
      </c>
      <c r="O13" s="107">
        <v>829.80717000000004</v>
      </c>
      <c r="P13" s="107"/>
      <c r="Q13" s="107">
        <v>6523.34</v>
      </c>
      <c r="R13" s="107">
        <v>6428.98</v>
      </c>
      <c r="S13" s="108">
        <v>6433.85</v>
      </c>
      <c r="T13" s="107"/>
    </row>
    <row r="14" spans="1:20" s="3" customFormat="1" x14ac:dyDescent="0.35">
      <c r="A14" s="112">
        <v>6</v>
      </c>
      <c r="B14" s="3" t="s">
        <v>84</v>
      </c>
      <c r="C14" s="38">
        <v>38</v>
      </c>
      <c r="D14" s="38">
        <v>2</v>
      </c>
      <c r="E14" s="38">
        <v>760</v>
      </c>
      <c r="F14" s="38">
        <v>800</v>
      </c>
      <c r="G14" s="38"/>
      <c r="H14" s="3">
        <v>73.78</v>
      </c>
      <c r="I14" s="105">
        <v>61</v>
      </c>
      <c r="J14" s="105">
        <v>78.39</v>
      </c>
      <c r="K14" s="105">
        <v>78.14</v>
      </c>
      <c r="L14" s="105"/>
      <c r="M14" s="107">
        <v>285.31253000000004</v>
      </c>
      <c r="N14" s="108">
        <v>404.37440999999995</v>
      </c>
      <c r="O14" s="107">
        <v>399.07540999999998</v>
      </c>
      <c r="P14" s="107"/>
      <c r="Q14" s="107">
        <v>4042.5</v>
      </c>
      <c r="R14" s="107">
        <v>5249.31</v>
      </c>
      <c r="S14" s="108">
        <v>5195.6000000000004</v>
      </c>
      <c r="T14" s="107"/>
    </row>
    <row r="15" spans="1:20" s="3" customFormat="1" x14ac:dyDescent="0.35">
      <c r="A15" s="112">
        <v>7</v>
      </c>
      <c r="B15" s="3" t="s">
        <v>85</v>
      </c>
      <c r="C15" s="38">
        <v>203</v>
      </c>
      <c r="D15" s="38">
        <v>6</v>
      </c>
      <c r="E15" s="38">
        <v>982</v>
      </c>
      <c r="F15" s="38">
        <v>1191</v>
      </c>
      <c r="G15" s="38"/>
      <c r="H15" s="3">
        <v>72.09</v>
      </c>
      <c r="I15" s="105">
        <v>60.5</v>
      </c>
      <c r="J15" s="105">
        <v>68.760000000000005</v>
      </c>
      <c r="K15" s="105">
        <v>69.290000000000006</v>
      </c>
      <c r="L15" s="105"/>
      <c r="M15" s="107">
        <v>262.40809999999999</v>
      </c>
      <c r="N15" s="108">
        <v>263.01569000000001</v>
      </c>
      <c r="O15" s="107">
        <v>262.90727000000004</v>
      </c>
      <c r="P15" s="107"/>
      <c r="Q15" s="107">
        <v>3583.29</v>
      </c>
      <c r="R15" s="107">
        <v>3814.52</v>
      </c>
      <c r="S15" s="108">
        <v>3773.26</v>
      </c>
      <c r="T15" s="107"/>
    </row>
    <row r="16" spans="1:20" s="3" customFormat="1" x14ac:dyDescent="0.35">
      <c r="A16" s="112">
        <v>8</v>
      </c>
      <c r="B16" s="3" t="s">
        <v>86</v>
      </c>
      <c r="C16" s="38">
        <v>14</v>
      </c>
      <c r="D16" s="38">
        <v>0</v>
      </c>
      <c r="E16" s="38">
        <v>1270</v>
      </c>
      <c r="F16" s="38">
        <v>1284</v>
      </c>
      <c r="G16" s="38"/>
      <c r="H16" s="3">
        <v>78.08</v>
      </c>
      <c r="I16" s="105">
        <v>0</v>
      </c>
      <c r="J16" s="105">
        <v>64.33</v>
      </c>
      <c r="K16" s="105">
        <v>64.489999999999995</v>
      </c>
      <c r="L16" s="105"/>
      <c r="M16" s="107">
        <v>257.02300000000002</v>
      </c>
      <c r="N16" s="108">
        <v>192.71498</v>
      </c>
      <c r="O16" s="107">
        <v>193.68935000000002</v>
      </c>
      <c r="P16" s="107"/>
      <c r="Q16" s="107">
        <v>3611</v>
      </c>
      <c r="R16" s="107">
        <v>3001.42</v>
      </c>
      <c r="S16" s="108">
        <v>3010.65</v>
      </c>
      <c r="T16" s="107"/>
    </row>
    <row r="17" spans="1:20" s="3" customFormat="1" x14ac:dyDescent="0.35">
      <c r="A17" s="112">
        <v>9</v>
      </c>
      <c r="B17" s="3" t="s">
        <v>64</v>
      </c>
      <c r="C17" s="38">
        <v>78</v>
      </c>
      <c r="D17" s="38">
        <v>5</v>
      </c>
      <c r="E17" s="38">
        <v>876</v>
      </c>
      <c r="F17" s="38">
        <v>959</v>
      </c>
      <c r="G17" s="38"/>
      <c r="H17" s="3">
        <v>83.07</v>
      </c>
      <c r="I17" s="105">
        <v>62.2</v>
      </c>
      <c r="J17" s="105">
        <v>71.72</v>
      </c>
      <c r="K17" s="105">
        <v>72.58</v>
      </c>
      <c r="L17" s="105"/>
      <c r="M17" s="107">
        <v>398.56984</v>
      </c>
      <c r="N17" s="108">
        <v>260.58197000000001</v>
      </c>
      <c r="O17" s="107">
        <v>273.38496999999995</v>
      </c>
      <c r="P17" s="107"/>
      <c r="Q17" s="107">
        <v>5182.3500000000004</v>
      </c>
      <c r="R17" s="107">
        <v>3652.2</v>
      </c>
      <c r="S17" s="108">
        <v>3794.17</v>
      </c>
      <c r="T17" s="107"/>
    </row>
    <row r="18" spans="1:20" s="3" customFormat="1" x14ac:dyDescent="0.35">
      <c r="A18" s="112">
        <v>10</v>
      </c>
      <c r="B18" s="3" t="s">
        <v>87</v>
      </c>
      <c r="C18" s="38">
        <v>139</v>
      </c>
      <c r="D18" s="38">
        <v>19</v>
      </c>
      <c r="E18" s="38">
        <v>1524</v>
      </c>
      <c r="F18" s="38">
        <v>1682</v>
      </c>
      <c r="G18" s="38"/>
      <c r="H18" s="3">
        <v>73.89</v>
      </c>
      <c r="I18" s="105">
        <v>73.44</v>
      </c>
      <c r="J18" s="105">
        <v>73.91</v>
      </c>
      <c r="K18" s="105">
        <v>73.900000000000006</v>
      </c>
      <c r="L18" s="105"/>
      <c r="M18" s="107">
        <v>460.92086</v>
      </c>
      <c r="N18" s="108">
        <v>343.09525000000002</v>
      </c>
      <c r="O18" s="107">
        <v>354.18371999999999</v>
      </c>
      <c r="P18" s="107"/>
      <c r="Q18" s="107">
        <v>6158.13</v>
      </c>
      <c r="R18" s="107">
        <v>4553.5</v>
      </c>
      <c r="S18" s="108">
        <v>4704.51</v>
      </c>
      <c r="T18" s="107"/>
    </row>
    <row r="19" spans="1:20" s="3" customFormat="1" x14ac:dyDescent="0.35">
      <c r="A19" s="112"/>
      <c r="C19" s="38"/>
      <c r="D19" s="38"/>
      <c r="E19" s="38"/>
      <c r="F19" s="38"/>
      <c r="H19" s="105"/>
      <c r="I19" s="105"/>
      <c r="J19" s="105"/>
      <c r="K19" s="105"/>
      <c r="L19" s="106"/>
      <c r="M19" s="107"/>
      <c r="N19" s="107"/>
      <c r="O19" s="107"/>
      <c r="P19" s="108"/>
      <c r="Q19" s="107"/>
      <c r="R19" s="107"/>
      <c r="S19" s="107"/>
    </row>
    <row r="20" spans="1:20" x14ac:dyDescent="0.35">
      <c r="A20" s="112"/>
      <c r="B20" s="109" t="s">
        <v>89</v>
      </c>
      <c r="C20" s="110"/>
      <c r="D20" s="110"/>
      <c r="E20" s="110"/>
      <c r="F20" s="1"/>
      <c r="H20" s="111"/>
      <c r="I20" s="111"/>
      <c r="J20" s="111"/>
      <c r="K20" s="111"/>
      <c r="L20" s="111"/>
      <c r="N20" s="59"/>
      <c r="O20" s="59"/>
      <c r="P20" s="59"/>
      <c r="Q20" s="59"/>
      <c r="S20" s="59"/>
      <c r="T20" s="59"/>
    </row>
    <row r="21" spans="1:20" x14ac:dyDescent="0.35">
      <c r="A21" s="112">
        <v>1</v>
      </c>
      <c r="B21" s="6" t="s">
        <v>8</v>
      </c>
      <c r="C21" s="6">
        <v>46</v>
      </c>
      <c r="D21" s="6">
        <v>0</v>
      </c>
      <c r="E21" s="38">
        <v>485</v>
      </c>
      <c r="F21" s="1">
        <v>531</v>
      </c>
      <c r="H21" s="7">
        <v>45.1</v>
      </c>
      <c r="I21" s="7">
        <v>0</v>
      </c>
      <c r="J21" s="7">
        <v>62.05</v>
      </c>
      <c r="K21" s="7">
        <v>61.27</v>
      </c>
      <c r="M21" s="34">
        <v>223.35</v>
      </c>
      <c r="N21" s="34">
        <v>216.25672</v>
      </c>
      <c r="O21" s="34">
        <v>216.58895999999999</v>
      </c>
      <c r="Q21" s="34">
        <v>4615.2</v>
      </c>
      <c r="R21" s="34">
        <v>3609.04</v>
      </c>
      <c r="S21" s="34">
        <v>3656.17</v>
      </c>
      <c r="T21" s="34"/>
    </row>
    <row r="22" spans="1:20" x14ac:dyDescent="0.35">
      <c r="A22" s="112">
        <v>2</v>
      </c>
      <c r="B22" s="6" t="s">
        <v>9</v>
      </c>
      <c r="C22" s="6">
        <v>8</v>
      </c>
      <c r="D22" s="6">
        <v>0</v>
      </c>
      <c r="E22" s="38">
        <v>179</v>
      </c>
      <c r="F22" s="1">
        <v>187</v>
      </c>
      <c r="H22" s="7">
        <v>97.17</v>
      </c>
      <c r="I22" s="7">
        <v>0</v>
      </c>
      <c r="J22" s="7">
        <v>89.81</v>
      </c>
      <c r="K22" s="7">
        <v>90.1</v>
      </c>
      <c r="M22" s="34">
        <v>538.51612999999998</v>
      </c>
      <c r="N22" s="34">
        <v>400.33990999999997</v>
      </c>
      <c r="O22" s="34">
        <v>405.72340000000003</v>
      </c>
      <c r="Q22" s="34">
        <v>5867.27</v>
      </c>
      <c r="R22" s="34">
        <v>4625.41</v>
      </c>
      <c r="S22" s="34">
        <v>4673.79</v>
      </c>
      <c r="T22" s="34"/>
    </row>
    <row r="23" spans="1:20" x14ac:dyDescent="0.35">
      <c r="A23" s="112">
        <v>3</v>
      </c>
      <c r="B23" s="6" t="s">
        <v>10</v>
      </c>
      <c r="C23" s="6">
        <v>16</v>
      </c>
      <c r="D23" s="6">
        <v>0</v>
      </c>
      <c r="E23" s="38">
        <v>163</v>
      </c>
      <c r="F23" s="1">
        <v>179</v>
      </c>
      <c r="H23" s="7">
        <v>35.54</v>
      </c>
      <c r="I23" s="7">
        <v>0</v>
      </c>
      <c r="J23" s="7">
        <v>46.5</v>
      </c>
      <c r="K23" s="7">
        <v>45.46</v>
      </c>
      <c r="M23" s="34">
        <v>240.86538000000002</v>
      </c>
      <c r="N23" s="34">
        <v>246.67079999999999</v>
      </c>
      <c r="O23" s="34">
        <v>246.11176</v>
      </c>
      <c r="Q23" s="34">
        <v>6941.41</v>
      </c>
      <c r="R23" s="34">
        <v>5518.53</v>
      </c>
      <c r="S23" s="34">
        <v>5655.55</v>
      </c>
      <c r="T23" s="34"/>
    </row>
    <row r="24" spans="1:20" x14ac:dyDescent="0.35">
      <c r="A24" s="112">
        <v>4</v>
      </c>
      <c r="B24" s="6" t="s">
        <v>11</v>
      </c>
      <c r="C24" s="6">
        <v>10</v>
      </c>
      <c r="D24" s="6">
        <v>0</v>
      </c>
      <c r="E24" s="38">
        <v>230</v>
      </c>
      <c r="F24" s="1">
        <v>240</v>
      </c>
      <c r="H24" s="7">
        <v>67</v>
      </c>
      <c r="I24" s="7">
        <v>0</v>
      </c>
      <c r="J24" s="7">
        <v>71.39</v>
      </c>
      <c r="K24" s="7">
        <v>71.209999999999994</v>
      </c>
      <c r="M24" s="34">
        <v>369.29748000000001</v>
      </c>
      <c r="N24" s="34">
        <v>338.67734999999999</v>
      </c>
      <c r="O24" s="34">
        <v>339.94731000000002</v>
      </c>
      <c r="Q24" s="34">
        <v>5441.93</v>
      </c>
      <c r="R24" s="34">
        <v>4862.2299999999996</v>
      </c>
      <c r="S24" s="34">
        <v>4886.2700000000004</v>
      </c>
      <c r="T24" s="34"/>
    </row>
    <row r="25" spans="1:20" x14ac:dyDescent="0.35">
      <c r="A25" s="112">
        <v>5</v>
      </c>
      <c r="B25" s="6" t="s">
        <v>12</v>
      </c>
      <c r="C25" s="6">
        <v>5</v>
      </c>
      <c r="D25" s="6">
        <v>0</v>
      </c>
      <c r="E25" s="38">
        <v>159</v>
      </c>
      <c r="F25" s="1">
        <v>164</v>
      </c>
      <c r="H25" s="7">
        <v>72</v>
      </c>
      <c r="I25" s="7">
        <v>0</v>
      </c>
      <c r="J25" s="7">
        <v>81.93</v>
      </c>
      <c r="K25" s="7">
        <v>81.599999999999994</v>
      </c>
      <c r="M25" s="34">
        <v>423.6</v>
      </c>
      <c r="N25" s="34">
        <v>397.17505</v>
      </c>
      <c r="O25" s="34">
        <v>398.08001000000002</v>
      </c>
      <c r="Q25" s="34">
        <v>6120.4</v>
      </c>
      <c r="R25" s="34">
        <v>4953.99</v>
      </c>
      <c r="S25" s="34">
        <v>4993.9399999999996</v>
      </c>
      <c r="T25" s="34"/>
    </row>
    <row r="26" spans="1:20" x14ac:dyDescent="0.35">
      <c r="A26" s="112">
        <v>6</v>
      </c>
      <c r="B26" s="6" t="s">
        <v>13</v>
      </c>
      <c r="C26" s="6">
        <v>30</v>
      </c>
      <c r="D26" s="6">
        <v>0</v>
      </c>
      <c r="E26" s="38">
        <v>247</v>
      </c>
      <c r="F26" s="1">
        <v>277</v>
      </c>
      <c r="H26" s="7">
        <v>108.08</v>
      </c>
      <c r="I26" s="7">
        <v>0</v>
      </c>
      <c r="J26" s="7">
        <v>72.56</v>
      </c>
      <c r="K26" s="7">
        <v>76.510000000000005</v>
      </c>
      <c r="M26" s="34">
        <v>682.09618999999998</v>
      </c>
      <c r="N26" s="34">
        <v>361.07357999999999</v>
      </c>
      <c r="O26" s="34">
        <v>397.05025000000001</v>
      </c>
      <c r="Q26" s="34">
        <v>6381.22</v>
      </c>
      <c r="R26" s="34">
        <v>5075.25</v>
      </c>
      <c r="S26" s="34">
        <v>5221.6099999999997</v>
      </c>
      <c r="T26" s="34"/>
    </row>
    <row r="27" spans="1:20" x14ac:dyDescent="0.35">
      <c r="A27" s="112">
        <v>7</v>
      </c>
      <c r="B27" s="6" t="s">
        <v>14</v>
      </c>
      <c r="C27" s="6">
        <v>58</v>
      </c>
      <c r="D27" s="6">
        <v>0</v>
      </c>
      <c r="E27" s="38">
        <v>347</v>
      </c>
      <c r="F27" s="1">
        <v>405</v>
      </c>
      <c r="H27" s="7">
        <v>119.77</v>
      </c>
      <c r="I27" s="7">
        <v>0</v>
      </c>
      <c r="J27" s="7">
        <v>120</v>
      </c>
      <c r="K27" s="7">
        <v>119.97</v>
      </c>
      <c r="M27" s="34">
        <v>984.55831999999998</v>
      </c>
      <c r="N27" s="34">
        <v>794.57630000000006</v>
      </c>
      <c r="O27" s="34">
        <v>821.79135999999994</v>
      </c>
      <c r="Q27" s="34">
        <v>8150.17</v>
      </c>
      <c r="R27" s="34">
        <v>6676.1</v>
      </c>
      <c r="S27" s="34">
        <v>6887.26</v>
      </c>
      <c r="T27" s="34"/>
    </row>
    <row r="28" spans="1:20" x14ac:dyDescent="0.35">
      <c r="A28" s="112">
        <v>8</v>
      </c>
      <c r="B28" s="6" t="s">
        <v>15</v>
      </c>
      <c r="C28" s="6">
        <v>28</v>
      </c>
      <c r="D28" s="6">
        <v>1</v>
      </c>
      <c r="E28" s="38">
        <v>337</v>
      </c>
      <c r="F28" s="1">
        <v>366</v>
      </c>
      <c r="H28" s="7">
        <v>96.38</v>
      </c>
      <c r="I28" s="7">
        <v>0</v>
      </c>
      <c r="J28" s="7">
        <v>98.6</v>
      </c>
      <c r="K28" s="7">
        <v>98.51</v>
      </c>
      <c r="M28" s="34">
        <v>612</v>
      </c>
      <c r="N28" s="34">
        <v>599.3405600000001</v>
      </c>
      <c r="O28" s="34">
        <v>599.86301000000003</v>
      </c>
      <c r="Q28" s="34">
        <v>5998.34</v>
      </c>
      <c r="R28" s="34">
        <v>6117.25</v>
      </c>
      <c r="S28" s="34">
        <v>6112.34</v>
      </c>
      <c r="T28" s="34"/>
    </row>
    <row r="29" spans="1:20" x14ac:dyDescent="0.35">
      <c r="A29" s="112">
        <v>9</v>
      </c>
      <c r="B29" s="6" t="s">
        <v>16</v>
      </c>
      <c r="C29" s="6">
        <v>159</v>
      </c>
      <c r="D29" s="6">
        <v>14</v>
      </c>
      <c r="E29" s="38">
        <v>265</v>
      </c>
      <c r="F29" s="1">
        <v>438</v>
      </c>
      <c r="H29" s="7">
        <v>81.96</v>
      </c>
      <c r="I29" s="7">
        <v>93.67</v>
      </c>
      <c r="J29" s="7">
        <v>78.22</v>
      </c>
      <c r="K29" s="7">
        <v>80.03</v>
      </c>
      <c r="M29" s="34">
        <v>470.93384000000003</v>
      </c>
      <c r="N29" s="34">
        <v>400.85669999999999</v>
      </c>
      <c r="O29" s="34">
        <v>428.53422999999998</v>
      </c>
      <c r="Q29" s="34">
        <v>5710.28</v>
      </c>
      <c r="R29" s="34">
        <v>5175.13</v>
      </c>
      <c r="S29" s="34">
        <v>5386.49</v>
      </c>
      <c r="T29" s="34"/>
    </row>
    <row r="30" spans="1:20" x14ac:dyDescent="0.35">
      <c r="A30" s="112">
        <v>10</v>
      </c>
      <c r="B30" s="6" t="s">
        <v>17</v>
      </c>
      <c r="C30" s="6">
        <v>16</v>
      </c>
      <c r="D30" s="6">
        <v>1</v>
      </c>
      <c r="E30" s="38">
        <v>205</v>
      </c>
      <c r="F30" s="1">
        <v>222</v>
      </c>
      <c r="H30" s="7">
        <v>103</v>
      </c>
      <c r="I30" s="7">
        <v>0</v>
      </c>
      <c r="J30" s="7">
        <v>81.349999999999994</v>
      </c>
      <c r="K30" s="7">
        <v>82.65</v>
      </c>
      <c r="M30" s="34">
        <v>515.37392999999997</v>
      </c>
      <c r="N30" s="34">
        <v>416.33037000000002</v>
      </c>
      <c r="O30" s="34">
        <v>422.52059000000003</v>
      </c>
      <c r="Q30" s="34">
        <v>5298.86</v>
      </c>
      <c r="R30" s="34">
        <v>5183.0600000000004</v>
      </c>
      <c r="S30" s="34">
        <v>5190.3</v>
      </c>
      <c r="T30" s="34"/>
    </row>
    <row r="31" spans="1:20" x14ac:dyDescent="0.35">
      <c r="A31" s="112">
        <v>11</v>
      </c>
      <c r="B31" s="6" t="s">
        <v>96</v>
      </c>
      <c r="C31" s="6">
        <v>1</v>
      </c>
      <c r="D31" s="6">
        <v>0</v>
      </c>
      <c r="E31" s="38">
        <v>325</v>
      </c>
      <c r="F31" s="1">
        <v>326</v>
      </c>
      <c r="H31" s="7">
        <v>65</v>
      </c>
      <c r="I31" s="7">
        <v>0</v>
      </c>
      <c r="J31" s="7">
        <v>58.96</v>
      </c>
      <c r="K31" s="7">
        <v>58.98</v>
      </c>
      <c r="M31" s="59" t="s">
        <v>100</v>
      </c>
      <c r="N31" s="34">
        <v>271.12134000000003</v>
      </c>
      <c r="O31" s="34">
        <v>271.49544000000003</v>
      </c>
      <c r="Q31" s="59" t="s">
        <v>100</v>
      </c>
      <c r="R31" s="34">
        <v>4616.21</v>
      </c>
      <c r="S31" s="34">
        <v>4620.3500000000004</v>
      </c>
      <c r="T31" s="34"/>
    </row>
    <row r="32" spans="1:20" x14ac:dyDescent="0.35">
      <c r="A32" s="112">
        <v>12</v>
      </c>
      <c r="B32" s="6" t="s">
        <v>97</v>
      </c>
      <c r="C32" s="6">
        <v>35</v>
      </c>
      <c r="D32" s="6">
        <v>8</v>
      </c>
      <c r="E32" s="38">
        <v>12</v>
      </c>
      <c r="F32" s="1">
        <v>55</v>
      </c>
      <c r="H32" s="7">
        <v>72.290000000000006</v>
      </c>
      <c r="I32" s="7">
        <v>65.569999999999993</v>
      </c>
      <c r="J32" s="7">
        <v>79.5</v>
      </c>
      <c r="K32" s="7">
        <v>73.02</v>
      </c>
      <c r="M32" s="34">
        <v>503.52300000000002</v>
      </c>
      <c r="N32" s="34">
        <v>315.41629999999998</v>
      </c>
      <c r="O32" s="34">
        <v>480.00966</v>
      </c>
      <c r="Q32" s="34">
        <v>6880.6</v>
      </c>
      <c r="R32" s="34">
        <v>3464.7</v>
      </c>
      <c r="S32" s="34">
        <v>6453.61</v>
      </c>
      <c r="T32" s="34"/>
    </row>
    <row r="33" spans="1:20" x14ac:dyDescent="0.35">
      <c r="A33" s="112">
        <v>13</v>
      </c>
      <c r="B33" s="6" t="s">
        <v>18</v>
      </c>
      <c r="C33" s="6">
        <v>4</v>
      </c>
      <c r="D33" s="6">
        <v>0</v>
      </c>
      <c r="E33" s="38">
        <v>195</v>
      </c>
      <c r="F33" s="1">
        <v>199</v>
      </c>
      <c r="H33" s="7">
        <v>60.25</v>
      </c>
      <c r="I33" s="7">
        <v>0</v>
      </c>
      <c r="J33" s="7">
        <v>71.290000000000006</v>
      </c>
      <c r="K33" s="7">
        <v>71.05</v>
      </c>
      <c r="M33" s="34">
        <v>197.75024999999999</v>
      </c>
      <c r="N33" s="34">
        <v>304.45724999999999</v>
      </c>
      <c r="O33" s="34">
        <v>301.57328000000001</v>
      </c>
      <c r="Q33" s="34">
        <v>3371.84</v>
      </c>
      <c r="R33" s="34">
        <v>4333.83</v>
      </c>
      <c r="S33" s="34">
        <v>4307.83</v>
      </c>
      <c r="T33" s="34"/>
    </row>
    <row r="34" spans="1:20" x14ac:dyDescent="0.35">
      <c r="A34" s="112">
        <v>14</v>
      </c>
      <c r="B34" s="6" t="s">
        <v>19</v>
      </c>
      <c r="C34" s="6">
        <v>3</v>
      </c>
      <c r="D34" s="6">
        <v>0</v>
      </c>
      <c r="E34" s="38">
        <v>51</v>
      </c>
      <c r="F34" s="1">
        <v>54</v>
      </c>
      <c r="H34" s="7">
        <v>73</v>
      </c>
      <c r="I34" s="7">
        <v>0</v>
      </c>
      <c r="J34" s="7">
        <v>73.17</v>
      </c>
      <c r="K34" s="7">
        <v>73.16</v>
      </c>
      <c r="M34" s="34">
        <v>273.065</v>
      </c>
      <c r="N34" s="34">
        <v>281.70236</v>
      </c>
      <c r="O34" s="34">
        <v>281.34246999999999</v>
      </c>
      <c r="Q34" s="34">
        <v>4002.55</v>
      </c>
      <c r="R34" s="34">
        <v>3956.49</v>
      </c>
      <c r="S34" s="34">
        <v>3958.41</v>
      </c>
      <c r="T34" s="34"/>
    </row>
    <row r="35" spans="1:20" x14ac:dyDescent="0.35">
      <c r="A35" s="112">
        <v>15</v>
      </c>
      <c r="B35" s="6" t="s">
        <v>20</v>
      </c>
      <c r="C35" s="6">
        <v>24</v>
      </c>
      <c r="D35" s="6">
        <v>0</v>
      </c>
      <c r="E35" s="38">
        <v>71</v>
      </c>
      <c r="F35" s="1">
        <v>95</v>
      </c>
      <c r="H35" s="7">
        <v>73.81</v>
      </c>
      <c r="I35" s="7">
        <v>0</v>
      </c>
      <c r="J35" s="7">
        <v>69.17</v>
      </c>
      <c r="K35" s="7">
        <v>70.39</v>
      </c>
      <c r="M35" s="34">
        <v>277.74781999999999</v>
      </c>
      <c r="N35" s="34">
        <v>305.34803999999997</v>
      </c>
      <c r="O35" s="34">
        <v>298.10298</v>
      </c>
      <c r="Q35" s="34">
        <v>3946.06</v>
      </c>
      <c r="R35" s="34">
        <v>4557.29</v>
      </c>
      <c r="S35" s="34">
        <v>4396.84</v>
      </c>
      <c r="T35" s="34"/>
    </row>
    <row r="36" spans="1:20" x14ac:dyDescent="0.35">
      <c r="A36" s="112">
        <v>16</v>
      </c>
      <c r="B36" s="6" t="s">
        <v>21</v>
      </c>
      <c r="C36" s="6">
        <v>3</v>
      </c>
      <c r="D36" s="6">
        <v>0</v>
      </c>
      <c r="E36" s="38">
        <v>139</v>
      </c>
      <c r="F36" s="1">
        <v>142</v>
      </c>
      <c r="H36" s="7">
        <v>56.33</v>
      </c>
      <c r="I36" s="7">
        <v>0</v>
      </c>
      <c r="J36" s="7">
        <v>70.349999999999994</v>
      </c>
      <c r="K36" s="7">
        <v>70.02</v>
      </c>
      <c r="M36" s="34">
        <v>259</v>
      </c>
      <c r="N36" s="34">
        <v>292.99912999999998</v>
      </c>
      <c r="O36" s="34">
        <v>292.15618000000001</v>
      </c>
      <c r="Q36" s="34">
        <v>4939.8500000000004</v>
      </c>
      <c r="R36" s="34">
        <v>4268.41</v>
      </c>
      <c r="S36" s="34">
        <v>4285.0600000000004</v>
      </c>
      <c r="T36" s="34"/>
    </row>
    <row r="37" spans="1:20" x14ac:dyDescent="0.35">
      <c r="A37" s="112">
        <v>17</v>
      </c>
      <c r="B37" s="6" t="s">
        <v>22</v>
      </c>
      <c r="C37" s="6">
        <v>10</v>
      </c>
      <c r="D37" s="6">
        <v>0</v>
      </c>
      <c r="E37" s="38">
        <v>179</v>
      </c>
      <c r="F37" s="1">
        <v>189</v>
      </c>
      <c r="H37" s="7">
        <v>66.38</v>
      </c>
      <c r="I37" s="7">
        <v>0</v>
      </c>
      <c r="J37" s="7">
        <v>66.5</v>
      </c>
      <c r="K37" s="7">
        <v>66.489999999999995</v>
      </c>
      <c r="M37" s="34">
        <v>346.25</v>
      </c>
      <c r="N37" s="34">
        <v>273.53583000000003</v>
      </c>
      <c r="O37" s="34">
        <v>277.12665000000004</v>
      </c>
      <c r="Q37" s="34">
        <v>5144.47</v>
      </c>
      <c r="R37" s="34">
        <v>4219.5</v>
      </c>
      <c r="S37" s="34">
        <v>4265.18</v>
      </c>
      <c r="T37" s="34"/>
    </row>
    <row r="38" spans="1:20" x14ac:dyDescent="0.35">
      <c r="A38" s="112">
        <v>18</v>
      </c>
      <c r="B38" s="6" t="s">
        <v>23</v>
      </c>
      <c r="C38" s="6">
        <v>50</v>
      </c>
      <c r="D38" s="6">
        <v>0</v>
      </c>
      <c r="E38" s="38">
        <v>334</v>
      </c>
      <c r="F38" s="1">
        <v>384</v>
      </c>
      <c r="H38" s="7">
        <v>65.680000000000007</v>
      </c>
      <c r="I38" s="7">
        <v>0</v>
      </c>
      <c r="J38" s="7">
        <v>67.150000000000006</v>
      </c>
      <c r="K38" s="7">
        <v>67.03</v>
      </c>
      <c r="M38" s="34">
        <v>265.60000000000002</v>
      </c>
      <c r="N38" s="34">
        <v>297.23271</v>
      </c>
      <c r="O38" s="34">
        <v>294.53366999999997</v>
      </c>
      <c r="Q38" s="34">
        <v>4231.4799999999996</v>
      </c>
      <c r="R38" s="34">
        <v>4523.8999999999996</v>
      </c>
      <c r="S38" s="34">
        <v>4498.95</v>
      </c>
      <c r="T38" s="34"/>
    </row>
    <row r="39" spans="1:20" x14ac:dyDescent="0.35">
      <c r="A39" s="112">
        <v>19</v>
      </c>
      <c r="B39" s="6" t="s">
        <v>24</v>
      </c>
      <c r="C39" s="6">
        <v>6</v>
      </c>
      <c r="D39" s="6">
        <v>0</v>
      </c>
      <c r="E39" s="38">
        <v>264</v>
      </c>
      <c r="F39" s="1">
        <v>270</v>
      </c>
      <c r="H39" s="7">
        <v>83.67</v>
      </c>
      <c r="I39" s="7">
        <v>0</v>
      </c>
      <c r="J39" s="7">
        <v>90.1</v>
      </c>
      <c r="K39" s="7">
        <v>89.95</v>
      </c>
      <c r="M39" s="34">
        <v>480.58332999999999</v>
      </c>
      <c r="N39" s="34">
        <v>518.28067999999996</v>
      </c>
      <c r="O39" s="34">
        <v>517.32227</v>
      </c>
      <c r="Q39" s="34">
        <v>5983.02</v>
      </c>
      <c r="R39" s="34">
        <v>5734.07</v>
      </c>
      <c r="S39" s="34">
        <v>5740.4</v>
      </c>
      <c r="T39" s="34"/>
    </row>
    <row r="40" spans="1:20" x14ac:dyDescent="0.35">
      <c r="A40" s="112">
        <v>20</v>
      </c>
      <c r="B40" s="6" t="s">
        <v>25</v>
      </c>
      <c r="C40" s="6">
        <v>4</v>
      </c>
      <c r="D40" s="6">
        <v>0</v>
      </c>
      <c r="E40" s="38">
        <v>149</v>
      </c>
      <c r="F40" s="1">
        <v>153</v>
      </c>
      <c r="H40" s="7">
        <v>101</v>
      </c>
      <c r="I40" s="7">
        <v>0</v>
      </c>
      <c r="J40" s="7">
        <v>81.739999999999995</v>
      </c>
      <c r="K40" s="7">
        <v>81.89</v>
      </c>
      <c r="M40" s="34">
        <v>445</v>
      </c>
      <c r="N40" s="34">
        <v>416.68390000000005</v>
      </c>
      <c r="O40" s="34">
        <v>416.93448000000001</v>
      </c>
      <c r="Q40" s="34">
        <v>4405.9399999999996</v>
      </c>
      <c r="R40" s="34">
        <v>5011.83</v>
      </c>
      <c r="S40" s="34">
        <v>5006.47</v>
      </c>
      <c r="T40" s="34"/>
    </row>
    <row r="41" spans="1:20" x14ac:dyDescent="0.35">
      <c r="A41" s="112">
        <v>21</v>
      </c>
      <c r="B41" s="6" t="s">
        <v>26</v>
      </c>
      <c r="C41" s="6">
        <v>2</v>
      </c>
      <c r="D41" s="6">
        <v>0</v>
      </c>
      <c r="E41" s="38">
        <v>92</v>
      </c>
      <c r="F41" s="1">
        <v>94</v>
      </c>
      <c r="H41" s="7">
        <v>168</v>
      </c>
      <c r="I41" s="7">
        <v>0</v>
      </c>
      <c r="J41" s="7">
        <v>163.07</v>
      </c>
      <c r="K41" s="7">
        <v>163.19999999999999</v>
      </c>
      <c r="M41" s="59" t="s">
        <v>100</v>
      </c>
      <c r="N41" s="34">
        <v>1243.79035</v>
      </c>
      <c r="O41" s="34">
        <v>1242.82493</v>
      </c>
      <c r="Q41" s="59" t="s">
        <v>100</v>
      </c>
      <c r="R41" s="34">
        <v>7433.61</v>
      </c>
      <c r="S41" s="34">
        <v>7428.73</v>
      </c>
      <c r="T41" s="34"/>
    </row>
    <row r="42" spans="1:20" x14ac:dyDescent="0.35">
      <c r="A42" s="112">
        <v>22</v>
      </c>
      <c r="B42" s="6" t="s">
        <v>27</v>
      </c>
      <c r="C42" s="6">
        <v>1</v>
      </c>
      <c r="D42" s="6">
        <v>0</v>
      </c>
      <c r="E42" s="38">
        <v>29</v>
      </c>
      <c r="F42" s="1">
        <v>30</v>
      </c>
      <c r="H42" s="7">
        <v>136</v>
      </c>
      <c r="I42" s="7">
        <v>0</v>
      </c>
      <c r="J42" s="7">
        <v>141.30000000000001</v>
      </c>
      <c r="K42" s="7">
        <v>141.08000000000001</v>
      </c>
      <c r="M42" s="59" t="s">
        <v>100</v>
      </c>
      <c r="N42" s="34">
        <v>523.51080000000002</v>
      </c>
      <c r="O42" s="34">
        <v>522.48859000000004</v>
      </c>
      <c r="Q42" s="59" t="s">
        <v>100</v>
      </c>
      <c r="R42" s="34">
        <v>4953.17</v>
      </c>
      <c r="S42" s="34">
        <v>4897.66</v>
      </c>
      <c r="T42" s="34"/>
    </row>
    <row r="43" spans="1:20" x14ac:dyDescent="0.35">
      <c r="A43" s="112">
        <v>23</v>
      </c>
      <c r="B43" s="6" t="s">
        <v>28</v>
      </c>
      <c r="C43" s="6">
        <v>8</v>
      </c>
      <c r="D43" s="6">
        <v>0</v>
      </c>
      <c r="E43" s="38">
        <v>139</v>
      </c>
      <c r="F43" s="1">
        <v>147</v>
      </c>
      <c r="H43" s="7">
        <v>147.25</v>
      </c>
      <c r="I43" s="7">
        <v>0</v>
      </c>
      <c r="J43" s="7">
        <v>106.42</v>
      </c>
      <c r="K43" s="7">
        <v>109.12</v>
      </c>
      <c r="M43" s="34">
        <v>1418.461</v>
      </c>
      <c r="N43" s="34">
        <v>734.17442000000005</v>
      </c>
      <c r="O43" s="34">
        <v>785.81868999999995</v>
      </c>
      <c r="Q43" s="34">
        <v>9310.7000000000007</v>
      </c>
      <c r="R43" s="34">
        <v>6873.14</v>
      </c>
      <c r="S43" s="34">
        <v>7057.11</v>
      </c>
      <c r="T43" s="34"/>
    </row>
    <row r="44" spans="1:20" x14ac:dyDescent="0.35">
      <c r="A44" s="112">
        <v>24</v>
      </c>
      <c r="B44" s="6" t="s">
        <v>29</v>
      </c>
      <c r="C44" s="6">
        <v>3</v>
      </c>
      <c r="D44" s="6">
        <v>0</v>
      </c>
      <c r="E44" s="38">
        <v>108</v>
      </c>
      <c r="F44" s="1">
        <v>111</v>
      </c>
      <c r="H44" s="7">
        <v>163</v>
      </c>
      <c r="I44" s="7">
        <v>0</v>
      </c>
      <c r="J44" s="7">
        <v>148.27000000000001</v>
      </c>
      <c r="K44" s="7">
        <v>148.69999999999999</v>
      </c>
      <c r="M44" s="34">
        <v>480.9119</v>
      </c>
      <c r="N44" s="34">
        <v>1065.63598</v>
      </c>
      <c r="O44" s="34">
        <v>1046.9745699999999</v>
      </c>
      <c r="Q44" s="34">
        <v>2832.58</v>
      </c>
      <c r="R44" s="34">
        <v>7281.53</v>
      </c>
      <c r="S44" s="34">
        <v>7139.54</v>
      </c>
      <c r="T44" s="34"/>
    </row>
    <row r="45" spans="1:20" x14ac:dyDescent="0.35">
      <c r="A45" s="112">
        <v>25</v>
      </c>
      <c r="B45" s="6" t="s">
        <v>30</v>
      </c>
      <c r="C45" s="6">
        <v>8</v>
      </c>
      <c r="D45" s="6">
        <v>0</v>
      </c>
      <c r="E45" s="38">
        <v>160</v>
      </c>
      <c r="F45" s="1">
        <v>168</v>
      </c>
      <c r="H45" s="7">
        <v>111</v>
      </c>
      <c r="I45" s="7">
        <v>0</v>
      </c>
      <c r="J45" s="7">
        <v>130.57</v>
      </c>
      <c r="K45" s="7">
        <v>129.66999999999999</v>
      </c>
      <c r="M45" s="34">
        <v>459.28586000000001</v>
      </c>
      <c r="N45" s="34">
        <v>841.89868999999999</v>
      </c>
      <c r="O45" s="34">
        <v>824.04342000000008</v>
      </c>
      <c r="Q45" s="34">
        <v>4144.6899999999996</v>
      </c>
      <c r="R45" s="34">
        <v>6381.49</v>
      </c>
      <c r="S45" s="34">
        <v>6277.11</v>
      </c>
      <c r="T45" s="34"/>
    </row>
    <row r="46" spans="1:20" x14ac:dyDescent="0.35">
      <c r="A46" s="112">
        <v>26</v>
      </c>
      <c r="B46" s="6" t="s">
        <v>31</v>
      </c>
      <c r="C46" s="6">
        <v>21</v>
      </c>
      <c r="D46" s="6">
        <v>0</v>
      </c>
      <c r="E46" s="38">
        <v>372</v>
      </c>
      <c r="F46" s="1">
        <v>393</v>
      </c>
      <c r="H46" s="7">
        <v>131.19999999999999</v>
      </c>
      <c r="I46" s="7">
        <v>0</v>
      </c>
      <c r="J46" s="7">
        <v>142.79</v>
      </c>
      <c r="K46" s="7">
        <v>142.29</v>
      </c>
      <c r="M46" s="34">
        <v>1155.4011</v>
      </c>
      <c r="N46" s="34">
        <v>935.40370999999993</v>
      </c>
      <c r="O46" s="34">
        <v>944.83217000000002</v>
      </c>
      <c r="Q46" s="34">
        <v>8653.25</v>
      </c>
      <c r="R46" s="34">
        <v>6613.69</v>
      </c>
      <c r="S46" s="34">
        <v>6701.1</v>
      </c>
      <c r="T46" s="34"/>
    </row>
    <row r="47" spans="1:20" x14ac:dyDescent="0.35">
      <c r="A47" s="112">
        <v>27</v>
      </c>
      <c r="B47" s="6" t="s">
        <v>32</v>
      </c>
      <c r="C47" s="6">
        <v>14</v>
      </c>
      <c r="D47" s="6">
        <v>0</v>
      </c>
      <c r="E47" s="38">
        <v>209</v>
      </c>
      <c r="F47" s="1">
        <v>223</v>
      </c>
      <c r="H47" s="7">
        <v>95.86</v>
      </c>
      <c r="I47" s="7">
        <v>0</v>
      </c>
      <c r="J47" s="7">
        <v>107.52</v>
      </c>
      <c r="K47" s="7">
        <v>106.74</v>
      </c>
      <c r="M47" s="34">
        <v>451.79134999999997</v>
      </c>
      <c r="N47" s="34">
        <v>608.12531000000001</v>
      </c>
      <c r="O47" s="34">
        <v>597.55200000000002</v>
      </c>
      <c r="Q47" s="34">
        <v>4832.0600000000004</v>
      </c>
      <c r="R47" s="34">
        <v>5684.29</v>
      </c>
      <c r="S47" s="34">
        <v>5626.65</v>
      </c>
      <c r="T47" s="34"/>
    </row>
    <row r="48" spans="1:20" x14ac:dyDescent="0.35">
      <c r="A48" s="112">
        <v>28</v>
      </c>
      <c r="B48" s="6" t="s">
        <v>33</v>
      </c>
      <c r="C48" s="6">
        <v>23</v>
      </c>
      <c r="D48" s="6">
        <v>1</v>
      </c>
      <c r="E48" s="38">
        <v>72</v>
      </c>
      <c r="F48" s="1">
        <v>96</v>
      </c>
      <c r="H48" s="7">
        <v>82.9</v>
      </c>
      <c r="I48" s="7">
        <v>64</v>
      </c>
      <c r="J48" s="7">
        <v>81.430000000000007</v>
      </c>
      <c r="K48" s="7">
        <v>81.569999999999993</v>
      </c>
      <c r="M48" s="34">
        <v>289.5</v>
      </c>
      <c r="N48" s="34">
        <v>365.95767000000001</v>
      </c>
      <c r="O48" s="34">
        <v>346.35314</v>
      </c>
      <c r="Q48" s="34">
        <v>3777.84</v>
      </c>
      <c r="R48" s="34">
        <v>4751.1899999999996</v>
      </c>
      <c r="S48" s="34">
        <v>4501.6099999999997</v>
      </c>
      <c r="T48" s="34"/>
    </row>
    <row r="49" spans="1:20" x14ac:dyDescent="0.35">
      <c r="A49" s="112">
        <v>29</v>
      </c>
      <c r="B49" s="6" t="s">
        <v>34</v>
      </c>
      <c r="C49" s="6">
        <v>8</v>
      </c>
      <c r="D49" s="6">
        <v>1</v>
      </c>
      <c r="E49" s="38">
        <v>37</v>
      </c>
      <c r="F49" s="1">
        <v>46</v>
      </c>
      <c r="H49" s="7">
        <v>54.5</v>
      </c>
      <c r="I49" s="7">
        <v>58</v>
      </c>
      <c r="J49" s="7">
        <v>73.31</v>
      </c>
      <c r="K49" s="7">
        <v>69.27</v>
      </c>
      <c r="M49" s="34">
        <v>180.125</v>
      </c>
      <c r="N49" s="34">
        <v>278.99544000000003</v>
      </c>
      <c r="O49" s="34">
        <v>259.22135000000003</v>
      </c>
      <c r="Q49" s="34">
        <v>3328.41</v>
      </c>
      <c r="R49" s="34">
        <v>3801.47</v>
      </c>
      <c r="S49" s="34">
        <v>3706.86</v>
      </c>
      <c r="T49" s="34"/>
    </row>
    <row r="50" spans="1:20" x14ac:dyDescent="0.35">
      <c r="A50" s="112">
        <v>30</v>
      </c>
      <c r="B50" s="6" t="s">
        <v>35</v>
      </c>
      <c r="C50" s="6">
        <v>1</v>
      </c>
      <c r="D50" s="6">
        <v>0</v>
      </c>
      <c r="E50" s="38">
        <v>69</v>
      </c>
      <c r="F50" s="1">
        <v>70</v>
      </c>
      <c r="H50" s="7">
        <v>39</v>
      </c>
      <c r="I50" s="7">
        <v>0</v>
      </c>
      <c r="J50" s="7">
        <v>84.62</v>
      </c>
      <c r="K50" s="7">
        <v>83.94</v>
      </c>
      <c r="M50" s="59" t="s">
        <v>100</v>
      </c>
      <c r="N50" s="34">
        <v>386.49246999999997</v>
      </c>
      <c r="O50" s="34">
        <v>384.21646000000004</v>
      </c>
      <c r="Q50" s="59" t="s">
        <v>100</v>
      </c>
      <c r="R50" s="34">
        <v>4483.68</v>
      </c>
      <c r="S50" s="34">
        <v>4506.3100000000004</v>
      </c>
      <c r="T50" s="34"/>
    </row>
    <row r="51" spans="1:20" x14ac:dyDescent="0.35">
      <c r="A51" s="112">
        <v>31</v>
      </c>
      <c r="B51" s="6" t="s">
        <v>36</v>
      </c>
      <c r="C51" s="6">
        <v>5</v>
      </c>
      <c r="D51" s="6">
        <v>0</v>
      </c>
      <c r="E51" s="38">
        <v>370</v>
      </c>
      <c r="F51" s="1">
        <v>375</v>
      </c>
      <c r="H51" s="7">
        <v>80</v>
      </c>
      <c r="I51" s="7">
        <v>0</v>
      </c>
      <c r="J51" s="7">
        <v>78.349999999999994</v>
      </c>
      <c r="K51" s="7">
        <v>78.36</v>
      </c>
      <c r="M51" s="34">
        <v>642.50049999999999</v>
      </c>
      <c r="N51" s="34">
        <v>429.24885999999998</v>
      </c>
      <c r="O51" s="34">
        <v>430.47798</v>
      </c>
      <c r="Q51" s="34">
        <v>7793.81</v>
      </c>
      <c r="R51" s="34">
        <v>5556.22</v>
      </c>
      <c r="S51" s="34">
        <v>5569.12</v>
      </c>
      <c r="T51" s="34"/>
    </row>
    <row r="52" spans="1:20" x14ac:dyDescent="0.35">
      <c r="A52" s="112">
        <v>32</v>
      </c>
      <c r="B52" s="6" t="s">
        <v>37</v>
      </c>
      <c r="C52" s="6">
        <v>1</v>
      </c>
      <c r="D52" s="6">
        <v>0</v>
      </c>
      <c r="E52" s="38">
        <v>212</v>
      </c>
      <c r="F52" s="1">
        <v>213</v>
      </c>
      <c r="H52" s="7">
        <v>68</v>
      </c>
      <c r="I52" s="7">
        <v>0</v>
      </c>
      <c r="J52" s="7">
        <v>76.17</v>
      </c>
      <c r="K52" s="7">
        <v>76.13</v>
      </c>
      <c r="M52" s="59" t="s">
        <v>100</v>
      </c>
      <c r="N52" s="34">
        <v>398.13150000000002</v>
      </c>
      <c r="O52" s="34">
        <v>398.03453999999999</v>
      </c>
      <c r="Q52" s="59" t="s">
        <v>100</v>
      </c>
      <c r="R52" s="34">
        <v>5356.12</v>
      </c>
      <c r="S52" s="34">
        <v>5357.36</v>
      </c>
      <c r="T52" s="34"/>
    </row>
    <row r="53" spans="1:20" x14ac:dyDescent="0.35">
      <c r="A53" s="112">
        <v>33</v>
      </c>
      <c r="B53" s="6" t="s">
        <v>38</v>
      </c>
      <c r="C53" s="6">
        <v>1</v>
      </c>
      <c r="D53" s="6">
        <v>0</v>
      </c>
      <c r="E53" s="38">
        <v>160</v>
      </c>
      <c r="F53" s="1">
        <v>161</v>
      </c>
      <c r="H53" s="7">
        <v>59</v>
      </c>
      <c r="I53" s="7">
        <v>0</v>
      </c>
      <c r="J53" s="7">
        <v>72.14</v>
      </c>
      <c r="K53" s="7">
        <v>72.05</v>
      </c>
      <c r="M53" s="59" t="s">
        <v>100</v>
      </c>
      <c r="N53" s="34">
        <v>312.51378000000005</v>
      </c>
      <c r="O53" s="34">
        <v>312.29702000000003</v>
      </c>
      <c r="Q53" s="59" t="s">
        <v>100</v>
      </c>
      <c r="R53" s="34">
        <v>4395.92</v>
      </c>
      <c r="S53" s="34">
        <v>4398.25</v>
      </c>
      <c r="T53" s="34"/>
    </row>
    <row r="54" spans="1:20" x14ac:dyDescent="0.35">
      <c r="A54" s="112">
        <v>34</v>
      </c>
      <c r="B54" s="6" t="s">
        <v>39</v>
      </c>
      <c r="C54" s="6">
        <v>0</v>
      </c>
      <c r="D54" s="6">
        <v>0</v>
      </c>
      <c r="E54" s="38">
        <v>63</v>
      </c>
      <c r="F54" s="1">
        <v>63</v>
      </c>
      <c r="H54" s="7">
        <v>0</v>
      </c>
      <c r="I54" s="7">
        <v>0</v>
      </c>
      <c r="J54" s="7">
        <v>69.5</v>
      </c>
      <c r="K54" s="7">
        <v>69.5</v>
      </c>
      <c r="M54" s="34">
        <v>0</v>
      </c>
      <c r="N54" s="34">
        <v>258.96427</v>
      </c>
      <c r="O54" s="34">
        <v>258.96427</v>
      </c>
      <c r="Q54" s="34">
        <v>0</v>
      </c>
      <c r="R54" s="34">
        <v>3679.56</v>
      </c>
      <c r="S54" s="34">
        <v>3679.56</v>
      </c>
      <c r="T54" s="34"/>
    </row>
    <row r="55" spans="1:20" x14ac:dyDescent="0.35">
      <c r="A55" s="112">
        <v>35</v>
      </c>
      <c r="B55" s="6" t="s">
        <v>40</v>
      </c>
      <c r="C55" s="6">
        <v>29</v>
      </c>
      <c r="D55" s="6">
        <v>0</v>
      </c>
      <c r="E55" s="38">
        <v>220</v>
      </c>
      <c r="F55" s="1">
        <v>249</v>
      </c>
      <c r="H55" s="7">
        <v>72.459999999999994</v>
      </c>
      <c r="I55" s="7">
        <v>0</v>
      </c>
      <c r="J55" s="7">
        <v>72.58</v>
      </c>
      <c r="K55" s="7">
        <v>72.569999999999993</v>
      </c>
      <c r="M55" s="34">
        <v>331.32143000000002</v>
      </c>
      <c r="N55" s="34">
        <v>292.42526000000004</v>
      </c>
      <c r="O55" s="34">
        <v>297.18112000000002</v>
      </c>
      <c r="Q55" s="34">
        <v>4550.5200000000004</v>
      </c>
      <c r="R55" s="34">
        <v>4124.03</v>
      </c>
      <c r="S55" s="34">
        <v>4176.18</v>
      </c>
      <c r="T55" s="34"/>
    </row>
    <row r="56" spans="1:20" x14ac:dyDescent="0.35">
      <c r="A56" s="112">
        <v>36</v>
      </c>
      <c r="B56" s="6" t="s">
        <v>41</v>
      </c>
      <c r="C56" s="6">
        <v>15</v>
      </c>
      <c r="D56" s="6">
        <v>0</v>
      </c>
      <c r="E56" s="38">
        <v>50</v>
      </c>
      <c r="F56" s="1">
        <v>65</v>
      </c>
      <c r="H56" s="7">
        <v>96.23</v>
      </c>
      <c r="I56" s="7">
        <v>0</v>
      </c>
      <c r="J56" s="7">
        <v>81.67</v>
      </c>
      <c r="K56" s="7">
        <v>84.72</v>
      </c>
      <c r="M56" s="34">
        <v>416.76922999999999</v>
      </c>
      <c r="N56" s="34">
        <v>396.61197999999996</v>
      </c>
      <c r="O56" s="34">
        <v>400.90778999999998</v>
      </c>
      <c r="Q56" s="34">
        <v>4845.45</v>
      </c>
      <c r="R56" s="34">
        <v>4813.3999999999996</v>
      </c>
      <c r="S56" s="34">
        <v>4820.2299999999996</v>
      </c>
      <c r="T56" s="34"/>
    </row>
    <row r="57" spans="1:20" x14ac:dyDescent="0.35">
      <c r="A57" s="112">
        <v>37</v>
      </c>
      <c r="B57" s="6" t="s">
        <v>42</v>
      </c>
      <c r="C57" s="6">
        <v>47</v>
      </c>
      <c r="D57" s="6">
        <v>2</v>
      </c>
      <c r="E57" s="38">
        <v>212</v>
      </c>
      <c r="F57" s="1">
        <v>261</v>
      </c>
      <c r="H57" s="7">
        <v>61.27</v>
      </c>
      <c r="I57" s="7">
        <v>63</v>
      </c>
      <c r="J57" s="7">
        <v>62.39</v>
      </c>
      <c r="K57" s="7">
        <v>62.19</v>
      </c>
      <c r="M57" s="34">
        <v>196.67089000000001</v>
      </c>
      <c r="N57" s="34">
        <v>183.47451000000001</v>
      </c>
      <c r="O57" s="34">
        <v>186.00148000000002</v>
      </c>
      <c r="Q57" s="34">
        <v>3150.34</v>
      </c>
      <c r="R57" s="34">
        <v>3022.42</v>
      </c>
      <c r="S57" s="34">
        <v>3046.92</v>
      </c>
      <c r="T57" s="34"/>
    </row>
    <row r="58" spans="1:20" x14ac:dyDescent="0.35">
      <c r="A58" s="112">
        <v>38</v>
      </c>
      <c r="B58" s="6" t="s">
        <v>43</v>
      </c>
      <c r="C58" s="6">
        <v>20</v>
      </c>
      <c r="D58" s="6">
        <v>0</v>
      </c>
      <c r="E58" s="38">
        <v>80</v>
      </c>
      <c r="F58" s="1">
        <v>100</v>
      </c>
      <c r="H58" s="7">
        <v>65.37</v>
      </c>
      <c r="I58" s="7">
        <v>0</v>
      </c>
      <c r="J58" s="7">
        <v>59.65</v>
      </c>
      <c r="K58" s="7">
        <v>60.78</v>
      </c>
      <c r="M58" s="34">
        <v>194.10526000000002</v>
      </c>
      <c r="N58" s="34">
        <v>205.04589000000001</v>
      </c>
      <c r="O58" s="34">
        <v>202.83448999999999</v>
      </c>
      <c r="Q58" s="34">
        <v>3062.26</v>
      </c>
      <c r="R58" s="34">
        <v>3482.66</v>
      </c>
      <c r="S58" s="34">
        <v>3397.69</v>
      </c>
      <c r="T58" s="34"/>
    </row>
    <row r="59" spans="1:20" x14ac:dyDescent="0.35">
      <c r="A59" s="112">
        <v>39</v>
      </c>
      <c r="B59" s="6" t="s">
        <v>44</v>
      </c>
      <c r="C59" s="6">
        <v>11</v>
      </c>
      <c r="D59" s="6">
        <v>0</v>
      </c>
      <c r="E59" s="38">
        <v>40</v>
      </c>
      <c r="F59" s="1">
        <v>51</v>
      </c>
      <c r="H59" s="7">
        <v>62.64</v>
      </c>
      <c r="I59" s="7">
        <v>0</v>
      </c>
      <c r="J59" s="7">
        <v>76.849999999999994</v>
      </c>
      <c r="K59" s="7">
        <v>73.790000000000006</v>
      </c>
      <c r="M59" s="34">
        <v>127.22727</v>
      </c>
      <c r="N59" s="34">
        <v>218.99833999999998</v>
      </c>
      <c r="O59" s="34">
        <v>198.80870000000002</v>
      </c>
      <c r="Q59" s="34">
        <v>2060.13</v>
      </c>
      <c r="R59" s="34">
        <v>2814.7</v>
      </c>
      <c r="S59" s="34">
        <v>2648.69</v>
      </c>
      <c r="T59" s="34"/>
    </row>
    <row r="60" spans="1:20" x14ac:dyDescent="0.35">
      <c r="A60" s="112">
        <v>40</v>
      </c>
      <c r="B60" s="6" t="s">
        <v>45</v>
      </c>
      <c r="C60" s="6">
        <v>4</v>
      </c>
      <c r="D60" s="6">
        <v>1</v>
      </c>
      <c r="E60" s="38">
        <v>19</v>
      </c>
      <c r="F60" s="1">
        <v>24</v>
      </c>
      <c r="H60" s="7">
        <v>68.33</v>
      </c>
      <c r="I60" s="7">
        <v>59</v>
      </c>
      <c r="J60" s="7">
        <v>64.5</v>
      </c>
      <c r="K60" s="7">
        <v>64.77</v>
      </c>
      <c r="M60" s="34">
        <v>161.69999999999999</v>
      </c>
      <c r="N60" s="34">
        <v>222.42857000000001</v>
      </c>
      <c r="O60" s="34">
        <v>211.71176</v>
      </c>
      <c r="Q60" s="34">
        <v>2611.8200000000002</v>
      </c>
      <c r="R60" s="34">
        <v>3619.62</v>
      </c>
      <c r="S60" s="34">
        <v>3441.77</v>
      </c>
      <c r="T60" s="34"/>
    </row>
    <row r="61" spans="1:20" x14ac:dyDescent="0.35">
      <c r="A61" s="112">
        <v>41</v>
      </c>
      <c r="B61" s="6" t="s">
        <v>46</v>
      </c>
      <c r="C61" s="6">
        <v>2</v>
      </c>
      <c r="D61" s="6">
        <v>1</v>
      </c>
      <c r="E61" s="38">
        <v>12</v>
      </c>
      <c r="F61" s="1">
        <v>15</v>
      </c>
      <c r="H61" s="7">
        <v>49</v>
      </c>
      <c r="I61" s="7">
        <v>64</v>
      </c>
      <c r="J61" s="7">
        <v>62.5</v>
      </c>
      <c r="K61" s="7">
        <v>60.8</v>
      </c>
      <c r="M61" s="34">
        <v>297.5</v>
      </c>
      <c r="N61" s="34">
        <v>301.83332999999999</v>
      </c>
      <c r="O61" s="34">
        <v>301.21428000000003</v>
      </c>
      <c r="Q61" s="34">
        <v>6071.43</v>
      </c>
      <c r="R61" s="34">
        <v>4952.12</v>
      </c>
      <c r="S61" s="34">
        <v>5112.0200000000004</v>
      </c>
      <c r="T61" s="34"/>
    </row>
    <row r="62" spans="1:20" x14ac:dyDescent="0.35">
      <c r="A62" s="112">
        <v>42</v>
      </c>
      <c r="B62" s="6" t="s">
        <v>47</v>
      </c>
      <c r="C62" s="6">
        <v>13</v>
      </c>
      <c r="D62" s="6">
        <v>0</v>
      </c>
      <c r="E62" s="38">
        <v>1</v>
      </c>
      <c r="F62" s="1">
        <v>14</v>
      </c>
      <c r="H62" s="7">
        <v>104.58</v>
      </c>
      <c r="I62" s="7">
        <v>0</v>
      </c>
      <c r="J62" s="7">
        <v>112</v>
      </c>
      <c r="K62" s="7">
        <v>105.15</v>
      </c>
      <c r="M62" s="34">
        <v>487.77125000000001</v>
      </c>
      <c r="N62" s="59" t="s">
        <v>100</v>
      </c>
      <c r="O62" s="34">
        <v>493.32731000000001</v>
      </c>
      <c r="Q62" s="34">
        <v>4675.4399999999996</v>
      </c>
      <c r="R62" s="59" t="s">
        <v>100</v>
      </c>
      <c r="S62" s="34">
        <v>4700.41</v>
      </c>
      <c r="T62" s="34"/>
    </row>
    <row r="63" spans="1:20" x14ac:dyDescent="0.35">
      <c r="A63" s="112">
        <v>43</v>
      </c>
      <c r="B63" s="6" t="s">
        <v>48</v>
      </c>
      <c r="C63" s="6">
        <v>61</v>
      </c>
      <c r="D63" s="6">
        <v>2</v>
      </c>
      <c r="E63" s="38">
        <v>125</v>
      </c>
      <c r="F63" s="1">
        <v>188</v>
      </c>
      <c r="H63" s="7">
        <v>73.38</v>
      </c>
      <c r="I63" s="7">
        <v>57</v>
      </c>
      <c r="J63" s="7">
        <v>67.13</v>
      </c>
      <c r="K63" s="7">
        <v>69.069999999999993</v>
      </c>
      <c r="M63" s="34">
        <v>250.62602999999999</v>
      </c>
      <c r="N63" s="34">
        <v>278.27199999999999</v>
      </c>
      <c r="O63" s="34">
        <v>268.05884000000003</v>
      </c>
      <c r="Q63" s="34">
        <v>3347.36</v>
      </c>
      <c r="R63" s="34">
        <v>3946.3</v>
      </c>
      <c r="S63" s="34">
        <v>3725.04</v>
      </c>
      <c r="T63" s="34"/>
    </row>
    <row r="64" spans="1:20" x14ac:dyDescent="0.35">
      <c r="A64" s="112">
        <v>44</v>
      </c>
      <c r="B64" s="6" t="s">
        <v>49</v>
      </c>
      <c r="C64" s="6">
        <v>8</v>
      </c>
      <c r="D64" s="6">
        <v>0</v>
      </c>
      <c r="E64" s="38">
        <v>129</v>
      </c>
      <c r="F64" s="1">
        <v>137</v>
      </c>
      <c r="H64" s="7">
        <v>68.88</v>
      </c>
      <c r="I64" s="7">
        <v>0</v>
      </c>
      <c r="J64" s="7">
        <v>73.27</v>
      </c>
      <c r="K64" s="7">
        <v>73</v>
      </c>
      <c r="M64" s="34">
        <v>286.87488000000002</v>
      </c>
      <c r="N64" s="34">
        <v>268.88254000000001</v>
      </c>
      <c r="O64" s="34">
        <v>270.03404999999998</v>
      </c>
      <c r="Q64" s="34">
        <v>4168.04</v>
      </c>
      <c r="R64" s="34">
        <v>3716.15</v>
      </c>
      <c r="S64" s="34">
        <v>3745.07</v>
      </c>
      <c r="T64" s="34"/>
    </row>
    <row r="65" spans="1:20" x14ac:dyDescent="0.35">
      <c r="A65" s="112">
        <v>45</v>
      </c>
      <c r="B65" s="6" t="s">
        <v>50</v>
      </c>
      <c r="C65" s="6">
        <v>1</v>
      </c>
      <c r="D65" s="6">
        <v>0</v>
      </c>
      <c r="E65" s="38">
        <v>151</v>
      </c>
      <c r="F65" s="1">
        <v>152</v>
      </c>
      <c r="H65" s="7">
        <v>65</v>
      </c>
      <c r="I65" s="7">
        <v>0</v>
      </c>
      <c r="J65" s="7">
        <v>66.06</v>
      </c>
      <c r="K65" s="7">
        <v>66.05</v>
      </c>
      <c r="M65" s="59" t="s">
        <v>100</v>
      </c>
      <c r="N65" s="34">
        <v>226.47779</v>
      </c>
      <c r="O65" s="34">
        <v>226.54542999999998</v>
      </c>
      <c r="Q65" s="59" t="s">
        <v>100</v>
      </c>
      <c r="R65" s="34">
        <v>3432.8</v>
      </c>
      <c r="S65" s="34">
        <v>3434.25</v>
      </c>
      <c r="T65" s="34"/>
    </row>
    <row r="66" spans="1:20" x14ac:dyDescent="0.35">
      <c r="A66" s="112">
        <v>46</v>
      </c>
      <c r="B66" s="6" t="s">
        <v>51</v>
      </c>
      <c r="C66" s="6">
        <v>0</v>
      </c>
      <c r="D66" s="6">
        <v>0</v>
      </c>
      <c r="E66" s="38">
        <v>142</v>
      </c>
      <c r="F66" s="1">
        <v>142</v>
      </c>
      <c r="H66" s="7">
        <v>0</v>
      </c>
      <c r="I66" s="7">
        <v>0</v>
      </c>
      <c r="J66" s="7">
        <v>62.69</v>
      </c>
      <c r="K66" s="7">
        <v>62.69</v>
      </c>
      <c r="M66" s="34">
        <v>0</v>
      </c>
      <c r="N66" s="34">
        <v>181.99696</v>
      </c>
      <c r="O66" s="34">
        <v>181.99696</v>
      </c>
      <c r="Q66" s="34">
        <v>0</v>
      </c>
      <c r="R66" s="34">
        <v>2855.09</v>
      </c>
      <c r="S66" s="34">
        <v>2855.09</v>
      </c>
      <c r="T66" s="34"/>
    </row>
    <row r="67" spans="1:20" x14ac:dyDescent="0.35">
      <c r="A67" s="112">
        <v>47</v>
      </c>
      <c r="B67" s="6" t="s">
        <v>52</v>
      </c>
      <c r="C67" s="6">
        <v>0</v>
      </c>
      <c r="D67" s="6">
        <v>0</v>
      </c>
      <c r="E67" s="38">
        <v>1</v>
      </c>
      <c r="F67" s="1">
        <v>1</v>
      </c>
      <c r="H67" s="7">
        <v>0</v>
      </c>
      <c r="I67" s="7">
        <v>0</v>
      </c>
      <c r="J67" s="7">
        <v>78</v>
      </c>
      <c r="K67" s="7">
        <v>78</v>
      </c>
      <c r="M67" s="34">
        <v>0</v>
      </c>
      <c r="N67" s="59" t="s">
        <v>100</v>
      </c>
      <c r="O67" s="59" t="s">
        <v>100</v>
      </c>
      <c r="Q67" s="34">
        <v>0</v>
      </c>
      <c r="R67" s="59" t="s">
        <v>100</v>
      </c>
      <c r="S67" s="59" t="s">
        <v>100</v>
      </c>
      <c r="T67" s="34"/>
    </row>
    <row r="68" spans="1:20" x14ac:dyDescent="0.35">
      <c r="A68" s="112">
        <v>48</v>
      </c>
      <c r="B68" s="6" t="s">
        <v>53</v>
      </c>
      <c r="C68" s="6">
        <v>0</v>
      </c>
      <c r="D68" s="6">
        <v>0</v>
      </c>
      <c r="E68" s="38">
        <v>82</v>
      </c>
      <c r="F68" s="1">
        <v>82</v>
      </c>
      <c r="H68" s="7">
        <v>0</v>
      </c>
      <c r="I68" s="7">
        <v>0</v>
      </c>
      <c r="J68" s="7">
        <v>74.48</v>
      </c>
      <c r="K68" s="7">
        <v>74.48</v>
      </c>
      <c r="M68" s="34">
        <v>0</v>
      </c>
      <c r="N68" s="34">
        <v>238.85590999999999</v>
      </c>
      <c r="O68" s="34">
        <v>238.85590999999999</v>
      </c>
      <c r="Q68" s="34">
        <v>0</v>
      </c>
      <c r="R68" s="34">
        <v>3321.62</v>
      </c>
      <c r="S68" s="34">
        <v>3321.62</v>
      </c>
      <c r="T68" s="34"/>
    </row>
    <row r="69" spans="1:20" x14ac:dyDescent="0.35">
      <c r="A69" s="112">
        <v>49</v>
      </c>
      <c r="B69" s="6" t="s">
        <v>54</v>
      </c>
      <c r="C69" s="6">
        <v>0</v>
      </c>
      <c r="D69" s="6">
        <v>0</v>
      </c>
      <c r="E69" s="38">
        <v>31</v>
      </c>
      <c r="F69" s="1">
        <v>31</v>
      </c>
      <c r="H69" s="7">
        <v>0</v>
      </c>
      <c r="I69" s="7">
        <v>0</v>
      </c>
      <c r="J69" s="7">
        <v>70.180000000000007</v>
      </c>
      <c r="K69" s="7">
        <v>70.180000000000007</v>
      </c>
      <c r="M69" s="34">
        <v>0</v>
      </c>
      <c r="N69" s="34">
        <v>214.91667000000001</v>
      </c>
      <c r="O69" s="34">
        <v>214.91667000000001</v>
      </c>
      <c r="Q69" s="34">
        <v>0</v>
      </c>
      <c r="R69" s="34">
        <v>3168.49</v>
      </c>
      <c r="S69" s="34">
        <v>3168.49</v>
      </c>
      <c r="T69" s="34"/>
    </row>
    <row r="70" spans="1:20" x14ac:dyDescent="0.35">
      <c r="A70" s="112">
        <v>50</v>
      </c>
      <c r="B70" s="6" t="s">
        <v>55</v>
      </c>
      <c r="C70" s="6">
        <v>1</v>
      </c>
      <c r="D70" s="6">
        <v>0</v>
      </c>
      <c r="E70" s="38">
        <v>181</v>
      </c>
      <c r="F70" s="1">
        <v>182</v>
      </c>
      <c r="H70" s="7">
        <v>220</v>
      </c>
      <c r="I70" s="7">
        <v>0</v>
      </c>
      <c r="J70" s="7">
        <v>59.78</v>
      </c>
      <c r="K70" s="7">
        <v>60.76</v>
      </c>
      <c r="M70" s="59" t="s">
        <v>100</v>
      </c>
      <c r="N70" s="34">
        <v>141.98812000000001</v>
      </c>
      <c r="O70" s="34">
        <v>143.44538</v>
      </c>
      <c r="Q70" s="59" t="s">
        <v>100</v>
      </c>
      <c r="R70" s="34">
        <v>2519.04</v>
      </c>
      <c r="S70" s="34">
        <v>2507.8200000000002</v>
      </c>
      <c r="T70" s="34"/>
    </row>
    <row r="71" spans="1:20" x14ac:dyDescent="0.35">
      <c r="A71" s="112">
        <v>51</v>
      </c>
      <c r="B71" s="6" t="s">
        <v>56</v>
      </c>
      <c r="C71" s="6">
        <v>1</v>
      </c>
      <c r="D71" s="6">
        <v>0</v>
      </c>
      <c r="E71" s="38">
        <v>118</v>
      </c>
      <c r="F71" s="1">
        <v>119</v>
      </c>
      <c r="H71" s="7">
        <v>68</v>
      </c>
      <c r="I71" s="7">
        <v>0</v>
      </c>
      <c r="J71" s="7">
        <v>56.42</v>
      </c>
      <c r="K71" s="7">
        <v>56.53</v>
      </c>
      <c r="M71" s="59" t="s">
        <v>100</v>
      </c>
      <c r="N71" s="34">
        <v>161.68508</v>
      </c>
      <c r="O71" s="34">
        <v>161.65652</v>
      </c>
      <c r="Q71" s="59" t="s">
        <v>100</v>
      </c>
      <c r="R71" s="34">
        <v>2843.03</v>
      </c>
      <c r="S71" s="34">
        <v>2834.72</v>
      </c>
      <c r="T71" s="34"/>
    </row>
    <row r="72" spans="1:20" x14ac:dyDescent="0.35">
      <c r="A72" s="112">
        <v>52</v>
      </c>
      <c r="B72" s="6" t="s">
        <v>57</v>
      </c>
      <c r="C72" s="6">
        <v>2</v>
      </c>
      <c r="D72" s="6">
        <v>0</v>
      </c>
      <c r="E72" s="38">
        <v>186</v>
      </c>
      <c r="F72" s="1">
        <v>188</v>
      </c>
      <c r="H72" s="7">
        <v>58</v>
      </c>
      <c r="I72" s="7">
        <v>0</v>
      </c>
      <c r="J72" s="7">
        <v>61.97</v>
      </c>
      <c r="K72" s="7">
        <v>61.95</v>
      </c>
      <c r="M72" s="59" t="s">
        <v>100</v>
      </c>
      <c r="N72" s="34">
        <v>191.45876999999999</v>
      </c>
      <c r="O72" s="34">
        <v>191.89901</v>
      </c>
      <c r="Q72" s="59" t="s">
        <v>100</v>
      </c>
      <c r="R72" s="34">
        <v>3161.44</v>
      </c>
      <c r="S72" s="34">
        <v>3169.85</v>
      </c>
      <c r="T72" s="34"/>
    </row>
    <row r="73" spans="1:20" x14ac:dyDescent="0.35">
      <c r="A73" s="112">
        <v>53</v>
      </c>
      <c r="B73" s="6" t="s">
        <v>58</v>
      </c>
      <c r="C73" s="6">
        <v>0</v>
      </c>
      <c r="D73" s="6">
        <v>0</v>
      </c>
      <c r="E73" s="38">
        <v>76</v>
      </c>
      <c r="F73" s="1">
        <v>76</v>
      </c>
      <c r="H73" s="7">
        <v>0</v>
      </c>
      <c r="I73" s="7">
        <v>0</v>
      </c>
      <c r="J73" s="7">
        <v>62</v>
      </c>
      <c r="K73" s="7">
        <v>62</v>
      </c>
      <c r="M73" s="34">
        <v>0</v>
      </c>
      <c r="N73" s="34">
        <v>145.78603000000001</v>
      </c>
      <c r="O73" s="34">
        <v>145.78603000000001</v>
      </c>
      <c r="Q73" s="34">
        <v>0</v>
      </c>
      <c r="R73" s="34">
        <v>2435.4899999999998</v>
      </c>
      <c r="S73" s="34">
        <v>2435.4899999999998</v>
      </c>
      <c r="T73" s="34"/>
    </row>
    <row r="74" spans="1:20" x14ac:dyDescent="0.35">
      <c r="A74" s="112">
        <v>54</v>
      </c>
      <c r="B74" s="6" t="s">
        <v>59</v>
      </c>
      <c r="C74" s="6">
        <v>0</v>
      </c>
      <c r="D74" s="6">
        <v>0</v>
      </c>
      <c r="E74" s="38">
        <v>17</v>
      </c>
      <c r="F74" s="1">
        <v>17</v>
      </c>
      <c r="H74" s="7">
        <v>0</v>
      </c>
      <c r="I74" s="7">
        <v>0</v>
      </c>
      <c r="J74" s="7">
        <v>101.92</v>
      </c>
      <c r="K74" s="7">
        <v>101.92</v>
      </c>
      <c r="M74" s="34">
        <v>0</v>
      </c>
      <c r="N74" s="34">
        <v>149.54473999999999</v>
      </c>
      <c r="O74" s="34">
        <v>149.54473999999999</v>
      </c>
      <c r="Q74" s="34">
        <v>0</v>
      </c>
      <c r="R74" s="34">
        <v>1743.96</v>
      </c>
      <c r="S74" s="34">
        <v>1743.96</v>
      </c>
      <c r="T74" s="34"/>
    </row>
    <row r="75" spans="1:20" x14ac:dyDescent="0.35">
      <c r="A75" s="112">
        <v>55</v>
      </c>
      <c r="B75" s="6" t="s">
        <v>60</v>
      </c>
      <c r="C75" s="6">
        <v>1</v>
      </c>
      <c r="D75" s="6">
        <v>0</v>
      </c>
      <c r="E75" s="38">
        <v>149</v>
      </c>
      <c r="F75" s="1">
        <v>150</v>
      </c>
      <c r="H75" s="7">
        <v>53</v>
      </c>
      <c r="I75" s="7">
        <v>0</v>
      </c>
      <c r="J75" s="7">
        <v>59.95</v>
      </c>
      <c r="K75" s="7">
        <v>59.89</v>
      </c>
      <c r="M75" s="59" t="s">
        <v>100</v>
      </c>
      <c r="N75" s="34">
        <v>114.38703</v>
      </c>
      <c r="O75" s="34">
        <v>114.03864</v>
      </c>
      <c r="Q75" s="59" t="s">
        <v>100</v>
      </c>
      <c r="R75" s="34">
        <v>1922.74</v>
      </c>
      <c r="S75" s="34">
        <v>1919.53</v>
      </c>
      <c r="T75" s="34"/>
    </row>
    <row r="76" spans="1:20" x14ac:dyDescent="0.35">
      <c r="A76" s="112">
        <v>56</v>
      </c>
      <c r="B76" s="6" t="s">
        <v>78</v>
      </c>
      <c r="C76" s="6">
        <v>0</v>
      </c>
      <c r="D76" s="6">
        <v>0</v>
      </c>
      <c r="E76" s="38">
        <v>7</v>
      </c>
      <c r="F76" s="1">
        <v>7</v>
      </c>
      <c r="H76" s="7">
        <v>0</v>
      </c>
      <c r="I76" s="7">
        <v>0</v>
      </c>
      <c r="J76" s="7">
        <v>80.5</v>
      </c>
      <c r="K76" s="7">
        <v>80.5</v>
      </c>
      <c r="M76" s="34">
        <v>0</v>
      </c>
      <c r="N76" s="34">
        <v>216.875</v>
      </c>
      <c r="O76" s="34">
        <v>216.875</v>
      </c>
      <c r="Q76" s="34">
        <v>0</v>
      </c>
      <c r="R76" s="34">
        <v>2631.03</v>
      </c>
      <c r="S76" s="34">
        <v>2631.03</v>
      </c>
      <c r="T76" s="34"/>
    </row>
    <row r="77" spans="1:20" x14ac:dyDescent="0.35">
      <c r="A77" s="112">
        <v>57</v>
      </c>
      <c r="B77" s="6" t="s">
        <v>61</v>
      </c>
      <c r="C77" s="6">
        <v>3</v>
      </c>
      <c r="D77" s="6">
        <v>0</v>
      </c>
      <c r="E77" s="38">
        <v>117</v>
      </c>
      <c r="F77" s="1">
        <v>120</v>
      </c>
      <c r="H77" s="7">
        <v>165</v>
      </c>
      <c r="I77" s="7">
        <v>0</v>
      </c>
      <c r="J77" s="7">
        <v>60.64</v>
      </c>
      <c r="K77" s="7">
        <v>63.36</v>
      </c>
      <c r="M77" s="34">
        <v>363.33332999999999</v>
      </c>
      <c r="N77" s="34">
        <v>136.67625000000001</v>
      </c>
      <c r="O77" s="34">
        <v>143.83384000000001</v>
      </c>
      <c r="Q77" s="34">
        <v>2440.8000000000002</v>
      </c>
      <c r="R77" s="34">
        <v>2318.88</v>
      </c>
      <c r="S77" s="34">
        <v>2322.73</v>
      </c>
      <c r="T77" s="34"/>
    </row>
    <row r="78" spans="1:20" x14ac:dyDescent="0.35">
      <c r="A78" s="112">
        <v>58</v>
      </c>
      <c r="B78" s="6" t="s">
        <v>62</v>
      </c>
      <c r="C78" s="6">
        <v>0</v>
      </c>
      <c r="D78" s="6">
        <v>0</v>
      </c>
      <c r="E78" s="38">
        <v>19</v>
      </c>
      <c r="F78" s="1">
        <v>19</v>
      </c>
      <c r="H78" s="7">
        <v>0</v>
      </c>
      <c r="I78" s="7">
        <v>0</v>
      </c>
      <c r="J78" s="7">
        <v>71.599999999999994</v>
      </c>
      <c r="K78" s="7">
        <v>71.599999999999994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  <c r="T78" s="34"/>
    </row>
    <row r="79" spans="1:20" x14ac:dyDescent="0.35">
      <c r="A79" s="112">
        <v>59</v>
      </c>
      <c r="B79" s="6" t="s">
        <v>63</v>
      </c>
      <c r="C79" s="6">
        <v>9</v>
      </c>
      <c r="D79" s="6">
        <v>0</v>
      </c>
      <c r="E79" s="38">
        <v>108</v>
      </c>
      <c r="F79" s="1">
        <v>117</v>
      </c>
      <c r="H79" s="7">
        <v>93.75</v>
      </c>
      <c r="I79" s="7">
        <v>0</v>
      </c>
      <c r="J79" s="7">
        <v>68.290000000000006</v>
      </c>
      <c r="K79" s="7">
        <v>70.14</v>
      </c>
      <c r="M79" s="34">
        <v>185.56733</v>
      </c>
      <c r="N79" s="34">
        <v>187.69198</v>
      </c>
      <c r="O79" s="34">
        <v>187.51854</v>
      </c>
      <c r="Q79" s="34">
        <v>1941.09</v>
      </c>
      <c r="R79" s="34">
        <v>2703.08</v>
      </c>
      <c r="S79" s="34">
        <v>2640.88</v>
      </c>
      <c r="T79" s="34"/>
    </row>
    <row r="80" spans="1:20" x14ac:dyDescent="0.35">
      <c r="A80" s="112">
        <v>60</v>
      </c>
      <c r="B80" s="6" t="s">
        <v>64</v>
      </c>
      <c r="C80" s="6">
        <v>24</v>
      </c>
      <c r="D80" s="6">
        <v>5</v>
      </c>
      <c r="E80" s="38">
        <v>330</v>
      </c>
      <c r="F80" s="1">
        <v>359</v>
      </c>
      <c r="H80" s="7">
        <v>72.7</v>
      </c>
      <c r="I80" s="7">
        <v>62.2</v>
      </c>
      <c r="J80" s="7">
        <v>75.510000000000005</v>
      </c>
      <c r="K80" s="7">
        <v>75.13</v>
      </c>
      <c r="M80" s="34">
        <v>401.55216999999999</v>
      </c>
      <c r="N80" s="34">
        <v>300.72348999999997</v>
      </c>
      <c r="O80" s="34">
        <v>308.18027000000001</v>
      </c>
      <c r="Q80" s="34">
        <v>5904.78</v>
      </c>
      <c r="R80" s="34">
        <v>4067.11</v>
      </c>
      <c r="S80" s="34">
        <v>4203.01</v>
      </c>
      <c r="T80" s="34"/>
    </row>
    <row r="81" spans="1:20" x14ac:dyDescent="0.35">
      <c r="A81" s="112">
        <v>61</v>
      </c>
      <c r="B81" s="6" t="s">
        <v>65</v>
      </c>
      <c r="C81" s="6">
        <v>32</v>
      </c>
      <c r="D81" s="6">
        <v>0</v>
      </c>
      <c r="E81" s="38">
        <v>113</v>
      </c>
      <c r="F81" s="1">
        <v>145</v>
      </c>
      <c r="H81" s="7">
        <v>76.58</v>
      </c>
      <c r="I81" s="7">
        <v>0</v>
      </c>
      <c r="J81" s="7">
        <v>73.34</v>
      </c>
      <c r="K81" s="7">
        <v>74.09</v>
      </c>
      <c r="M81" s="34">
        <v>441.16128999999995</v>
      </c>
      <c r="N81" s="34">
        <v>291.09190999999998</v>
      </c>
      <c r="O81" s="34">
        <v>335.39810999999997</v>
      </c>
      <c r="Q81" s="34">
        <v>5783.02</v>
      </c>
      <c r="R81" s="34">
        <v>4059.34</v>
      </c>
      <c r="S81" s="34">
        <v>4568.24</v>
      </c>
      <c r="T81" s="34"/>
    </row>
    <row r="82" spans="1:20" x14ac:dyDescent="0.35">
      <c r="A82" s="112">
        <v>62</v>
      </c>
      <c r="B82" s="6" t="s">
        <v>66</v>
      </c>
      <c r="C82" s="6">
        <v>8</v>
      </c>
      <c r="D82" s="6">
        <v>0</v>
      </c>
      <c r="E82" s="38">
        <v>93</v>
      </c>
      <c r="F82" s="1">
        <v>101</v>
      </c>
      <c r="H82" s="7">
        <v>99</v>
      </c>
      <c r="I82" s="7">
        <v>0</v>
      </c>
      <c r="J82" s="7">
        <v>70.03</v>
      </c>
      <c r="K82" s="7">
        <v>72.14</v>
      </c>
      <c r="M82" s="34">
        <v>451.63166999999999</v>
      </c>
      <c r="N82" s="34">
        <v>266.15969000000001</v>
      </c>
      <c r="O82" s="34">
        <v>278.52449000000001</v>
      </c>
      <c r="Q82" s="34">
        <v>4821.96</v>
      </c>
      <c r="R82" s="34">
        <v>3853.16</v>
      </c>
      <c r="S82" s="34">
        <v>3917.75</v>
      </c>
      <c r="T82" s="34"/>
    </row>
    <row r="83" spans="1:20" x14ac:dyDescent="0.35">
      <c r="A83" s="112">
        <v>63</v>
      </c>
      <c r="B83" s="1" t="s">
        <v>67</v>
      </c>
      <c r="C83" s="6">
        <v>2</v>
      </c>
      <c r="D83" s="6">
        <v>0</v>
      </c>
      <c r="E83" s="38">
        <v>96</v>
      </c>
      <c r="F83" s="1">
        <v>98</v>
      </c>
      <c r="H83" s="7">
        <v>80</v>
      </c>
      <c r="I83" s="7">
        <v>0</v>
      </c>
      <c r="J83" s="7">
        <v>75.760000000000005</v>
      </c>
      <c r="K83" s="7">
        <v>75.81</v>
      </c>
      <c r="M83" s="59" t="s">
        <v>100</v>
      </c>
      <c r="N83" s="34">
        <v>308.90309999999999</v>
      </c>
      <c r="O83" s="34">
        <v>311.39785999999998</v>
      </c>
      <c r="Q83" s="59" t="s">
        <v>100</v>
      </c>
      <c r="R83" s="34">
        <v>4199.3100000000004</v>
      </c>
      <c r="S83" s="34">
        <v>4226.1000000000004</v>
      </c>
      <c r="T83" s="34"/>
    </row>
    <row r="84" spans="1:20" x14ac:dyDescent="0.35">
      <c r="A84" s="112">
        <v>64</v>
      </c>
      <c r="B84" s="1" t="s">
        <v>68</v>
      </c>
      <c r="C84" s="6">
        <v>0</v>
      </c>
      <c r="D84" s="6">
        <v>0</v>
      </c>
      <c r="E84" s="38">
        <v>202</v>
      </c>
      <c r="F84" s="1">
        <v>202</v>
      </c>
      <c r="H84" s="7">
        <v>0</v>
      </c>
      <c r="I84" s="7">
        <v>0</v>
      </c>
      <c r="J84" s="7">
        <v>72.34</v>
      </c>
      <c r="K84" s="7">
        <v>72.34</v>
      </c>
      <c r="M84" s="34">
        <v>0</v>
      </c>
      <c r="N84" s="34">
        <v>321.79457000000002</v>
      </c>
      <c r="O84" s="34">
        <v>321.79457000000002</v>
      </c>
      <c r="Q84" s="34">
        <v>0</v>
      </c>
      <c r="R84" s="34">
        <v>4657.7</v>
      </c>
      <c r="S84" s="34">
        <v>4657.7</v>
      </c>
      <c r="T84" s="34"/>
    </row>
    <row r="85" spans="1:20" x14ac:dyDescent="0.35">
      <c r="A85" s="112">
        <v>65</v>
      </c>
      <c r="B85" s="1" t="s">
        <v>69</v>
      </c>
      <c r="C85" s="6">
        <v>5</v>
      </c>
      <c r="D85" s="6">
        <v>0</v>
      </c>
      <c r="E85" s="38">
        <v>131</v>
      </c>
      <c r="F85" s="1">
        <v>136</v>
      </c>
      <c r="H85" s="7">
        <v>39.67</v>
      </c>
      <c r="I85" s="7">
        <v>0</v>
      </c>
      <c r="J85" s="7">
        <v>73.55</v>
      </c>
      <c r="K85" s="7">
        <v>72.72</v>
      </c>
      <c r="M85" s="34">
        <v>188.5</v>
      </c>
      <c r="N85" s="34">
        <v>322.93099000000001</v>
      </c>
      <c r="O85" s="34">
        <v>318.34811999999999</v>
      </c>
      <c r="Q85" s="34">
        <v>5097.29</v>
      </c>
      <c r="R85" s="34">
        <v>4464.21</v>
      </c>
      <c r="S85" s="34">
        <v>4485.79</v>
      </c>
      <c r="T85" s="34"/>
    </row>
    <row r="86" spans="1:20" x14ac:dyDescent="0.35">
      <c r="A86" s="112">
        <v>66</v>
      </c>
      <c r="B86" s="1" t="s">
        <v>70</v>
      </c>
      <c r="C86" s="6">
        <v>1</v>
      </c>
      <c r="D86" s="6">
        <v>1</v>
      </c>
      <c r="E86" s="38">
        <v>84</v>
      </c>
      <c r="F86" s="1">
        <v>86</v>
      </c>
      <c r="H86" s="7">
        <v>68</v>
      </c>
      <c r="I86" s="7">
        <v>63</v>
      </c>
      <c r="J86" s="7">
        <v>74.680000000000007</v>
      </c>
      <c r="K86" s="7">
        <v>74.459999999999994</v>
      </c>
      <c r="M86" s="59" t="s">
        <v>100</v>
      </c>
      <c r="N86" s="34">
        <v>378.41250000000002</v>
      </c>
      <c r="O86" s="34">
        <v>377.81481000000002</v>
      </c>
      <c r="Q86" s="59" t="s">
        <v>100</v>
      </c>
      <c r="R86" s="34">
        <v>5147.76</v>
      </c>
      <c r="S86" s="34">
        <v>5144.12</v>
      </c>
      <c r="T86" s="34"/>
    </row>
    <row r="87" spans="1:20" x14ac:dyDescent="0.35">
      <c r="A87" s="112">
        <v>67</v>
      </c>
      <c r="B87" s="1" t="s">
        <v>71</v>
      </c>
      <c r="C87" s="6">
        <v>3</v>
      </c>
      <c r="D87" s="6">
        <v>0</v>
      </c>
      <c r="E87" s="38">
        <v>59</v>
      </c>
      <c r="F87" s="1">
        <v>62</v>
      </c>
      <c r="H87" s="7">
        <v>57.67</v>
      </c>
      <c r="I87" s="7">
        <v>0</v>
      </c>
      <c r="J87" s="7">
        <v>86.36</v>
      </c>
      <c r="K87" s="7">
        <v>84.95</v>
      </c>
      <c r="M87" s="34">
        <v>425.06666999999999</v>
      </c>
      <c r="N87" s="34">
        <v>503.72906</v>
      </c>
      <c r="O87" s="34">
        <v>499.86041999999998</v>
      </c>
      <c r="Q87" s="34">
        <v>7433.26</v>
      </c>
      <c r="R87" s="34">
        <v>5934.03</v>
      </c>
      <c r="S87" s="34">
        <v>6007.76</v>
      </c>
      <c r="T87" s="34"/>
    </row>
    <row r="88" spans="1:20" x14ac:dyDescent="0.35">
      <c r="A88" s="112">
        <v>68</v>
      </c>
      <c r="B88" s="1" t="s">
        <v>72</v>
      </c>
      <c r="C88" s="6">
        <v>42</v>
      </c>
      <c r="D88" s="6">
        <v>1</v>
      </c>
      <c r="E88" s="38">
        <v>214</v>
      </c>
      <c r="F88" s="1">
        <v>257</v>
      </c>
      <c r="H88" s="7">
        <v>78.33</v>
      </c>
      <c r="I88" s="7">
        <v>83</v>
      </c>
      <c r="J88" s="7">
        <v>72.88</v>
      </c>
      <c r="K88" s="7">
        <v>73.849999999999994</v>
      </c>
      <c r="M88" s="34">
        <v>504.50941</v>
      </c>
      <c r="N88" s="34">
        <v>421.12511999999998</v>
      </c>
      <c r="O88" s="34">
        <v>435.96469999999999</v>
      </c>
      <c r="Q88" s="34">
        <v>6579.49</v>
      </c>
      <c r="R88" s="34">
        <v>5835.66</v>
      </c>
      <c r="S88" s="34">
        <v>5968.04</v>
      </c>
      <c r="T88" s="34"/>
    </row>
    <row r="89" spans="1:20" x14ac:dyDescent="0.35">
      <c r="A89" s="112">
        <v>69</v>
      </c>
      <c r="B89" s="1" t="s">
        <v>73</v>
      </c>
      <c r="C89" s="6">
        <v>48</v>
      </c>
      <c r="D89" s="6">
        <v>5</v>
      </c>
      <c r="E89" s="38">
        <v>101</v>
      </c>
      <c r="F89" s="1">
        <v>154</v>
      </c>
      <c r="H89" s="7">
        <v>64.959999999999994</v>
      </c>
      <c r="I89" s="7">
        <v>71</v>
      </c>
      <c r="J89" s="7">
        <v>102.52</v>
      </c>
      <c r="K89" s="7">
        <v>90.08</v>
      </c>
      <c r="M89" s="34">
        <v>440.21666999999997</v>
      </c>
      <c r="N89" s="34">
        <v>643.24060999999995</v>
      </c>
      <c r="O89" s="34">
        <v>576.55391000000009</v>
      </c>
      <c r="Q89" s="34">
        <v>6728.82</v>
      </c>
      <c r="R89" s="34">
        <v>6176.19</v>
      </c>
      <c r="S89" s="34">
        <v>6357.71</v>
      </c>
      <c r="T89" s="34"/>
    </row>
    <row r="90" spans="1:20" x14ac:dyDescent="0.35">
      <c r="A90" s="112">
        <v>70</v>
      </c>
      <c r="B90" s="1" t="s">
        <v>74</v>
      </c>
      <c r="C90" s="6">
        <v>8</v>
      </c>
      <c r="D90" s="6">
        <v>5</v>
      </c>
      <c r="E90" s="38">
        <v>212</v>
      </c>
      <c r="F90" s="1">
        <v>225</v>
      </c>
      <c r="H90" s="7">
        <v>107</v>
      </c>
      <c r="I90" s="7">
        <v>70.599999999999994</v>
      </c>
      <c r="J90" s="7">
        <v>60.77</v>
      </c>
      <c r="K90" s="7">
        <v>62.41</v>
      </c>
      <c r="M90" s="34">
        <v>582.5</v>
      </c>
      <c r="N90" s="34">
        <v>165.84853000000001</v>
      </c>
      <c r="O90" s="34">
        <v>180.05256</v>
      </c>
      <c r="Q90" s="34">
        <v>4184.24</v>
      </c>
      <c r="R90" s="34">
        <v>2569.58</v>
      </c>
      <c r="S90" s="34">
        <v>2624.63</v>
      </c>
      <c r="T90" s="34"/>
    </row>
    <row r="91" spans="1:20" x14ac:dyDescent="0.35">
      <c r="A91" s="112">
        <v>71</v>
      </c>
      <c r="B91" s="1" t="s">
        <v>75</v>
      </c>
      <c r="C91" s="6">
        <v>30</v>
      </c>
      <c r="D91" s="6">
        <v>7</v>
      </c>
      <c r="E91" s="38">
        <v>99</v>
      </c>
      <c r="F91" s="1">
        <v>136</v>
      </c>
      <c r="H91" s="7">
        <v>79</v>
      </c>
      <c r="I91" s="7">
        <v>77</v>
      </c>
      <c r="J91" s="7">
        <v>78.86</v>
      </c>
      <c r="K91" s="7">
        <v>78.790000000000006</v>
      </c>
      <c r="M91" s="34">
        <v>439.44094999999999</v>
      </c>
      <c r="N91" s="34">
        <v>391.24364000000003</v>
      </c>
      <c r="O91" s="34">
        <v>403.72329999999999</v>
      </c>
      <c r="Q91" s="34">
        <v>5130.13</v>
      </c>
      <c r="R91" s="34">
        <v>4908.37</v>
      </c>
      <c r="S91" s="34">
        <v>4965.79</v>
      </c>
      <c r="T91" s="34"/>
    </row>
    <row r="92" spans="1:20" x14ac:dyDescent="0.35">
      <c r="A92" s="112">
        <v>72</v>
      </c>
      <c r="B92" s="1" t="s">
        <v>76</v>
      </c>
      <c r="C92" s="6">
        <v>0</v>
      </c>
      <c r="D92" s="6">
        <v>0</v>
      </c>
      <c r="E92" s="38">
        <v>156</v>
      </c>
      <c r="F92" s="1">
        <v>156</v>
      </c>
      <c r="H92" s="7">
        <v>0</v>
      </c>
      <c r="I92" s="7">
        <v>0</v>
      </c>
      <c r="J92" s="7">
        <v>71.92</v>
      </c>
      <c r="K92" s="7">
        <v>71.92</v>
      </c>
      <c r="M92" s="34">
        <v>0</v>
      </c>
      <c r="N92" s="34">
        <v>248.69238000000001</v>
      </c>
      <c r="O92" s="34">
        <v>248.69238000000001</v>
      </c>
      <c r="Q92" s="34">
        <v>0</v>
      </c>
      <c r="R92" s="34">
        <v>3514.94</v>
      </c>
      <c r="S92" s="34">
        <v>3514.94</v>
      </c>
      <c r="T92" s="34"/>
    </row>
    <row r="93" spans="1:20" x14ac:dyDescent="0.35">
      <c r="A93" s="113">
        <v>73</v>
      </c>
      <c r="B93" s="24" t="s">
        <v>77</v>
      </c>
      <c r="C93" s="27">
        <v>2</v>
      </c>
      <c r="D93" s="27">
        <v>0</v>
      </c>
      <c r="E93" s="39">
        <v>266</v>
      </c>
      <c r="F93" s="24">
        <v>268</v>
      </c>
      <c r="G93" s="24"/>
      <c r="H93" s="25">
        <v>86.5</v>
      </c>
      <c r="I93" s="25">
        <v>0</v>
      </c>
      <c r="J93" s="25">
        <v>70.94</v>
      </c>
      <c r="K93" s="25">
        <v>71.06</v>
      </c>
      <c r="L93" s="25"/>
      <c r="M93" s="59" t="s">
        <v>100</v>
      </c>
      <c r="N93" s="37">
        <v>285.94772999999998</v>
      </c>
      <c r="O93" s="37">
        <v>287.89946000000003</v>
      </c>
      <c r="P93" s="37"/>
      <c r="Q93" s="59" t="s">
        <v>100</v>
      </c>
      <c r="R93" s="37">
        <v>4069.6</v>
      </c>
      <c r="S93" s="37">
        <v>4084.8</v>
      </c>
      <c r="T93" s="34"/>
    </row>
    <row r="95" spans="1:20" x14ac:dyDescent="0.35">
      <c r="B95" s="114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A22D-40D5-4725-B4CE-D51EB945ADE6}">
  <dimension ref="A1:W95"/>
  <sheetViews>
    <sheetView workbookViewId="0"/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7" customWidth="1"/>
    <col min="17" max="19" width="10.73046875" style="34" customWidth="1"/>
    <col min="20" max="16384" width="11.3984375" style="1"/>
  </cols>
  <sheetData>
    <row r="1" spans="1:23" ht="13.9" x14ac:dyDescent="0.4">
      <c r="A1" s="2" t="s">
        <v>91</v>
      </c>
    </row>
    <row r="2" spans="1:23" ht="13.15" x14ac:dyDescent="0.4">
      <c r="A2" s="31" t="s">
        <v>99</v>
      </c>
    </row>
    <row r="4" spans="1:23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23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11"/>
      <c r="Q5" s="54" t="s">
        <v>5</v>
      </c>
      <c r="R5" s="54" t="s">
        <v>2</v>
      </c>
      <c r="S5" s="54" t="s">
        <v>3</v>
      </c>
    </row>
    <row r="6" spans="1:23" s="22" customFormat="1" x14ac:dyDescent="0.35">
      <c r="B6" s="29" t="s">
        <v>94</v>
      </c>
      <c r="C6" s="6">
        <v>361</v>
      </c>
      <c r="D6" s="6">
        <v>10</v>
      </c>
      <c r="E6" s="6">
        <v>3452</v>
      </c>
      <c r="F6" s="6">
        <v>3823</v>
      </c>
      <c r="G6" s="6"/>
      <c r="H6" s="1">
        <v>86.51</v>
      </c>
      <c r="I6" s="7">
        <v>70.8</v>
      </c>
      <c r="J6" s="7">
        <v>81.27</v>
      </c>
      <c r="K6" s="7">
        <v>81.7</v>
      </c>
      <c r="L6" s="7"/>
      <c r="M6" s="34">
        <v>483.60341</v>
      </c>
      <c r="N6" s="34">
        <v>414.43</v>
      </c>
      <c r="O6" s="34">
        <v>421.07529</v>
      </c>
      <c r="P6" s="7"/>
      <c r="Q6" s="34">
        <v>5359.34</v>
      </c>
      <c r="R6" s="34">
        <v>4870.8500000000004</v>
      </c>
      <c r="S6" s="34">
        <v>4917.78</v>
      </c>
      <c r="T6" s="34"/>
      <c r="U6" s="34"/>
      <c r="V6" s="34"/>
      <c r="W6" s="34"/>
    </row>
    <row r="7" spans="1:23" s="22" customFormat="1" x14ac:dyDescent="0.35">
      <c r="B7" s="19"/>
      <c r="C7" s="26"/>
      <c r="D7" s="26"/>
      <c r="E7" s="26"/>
      <c r="F7" s="26"/>
      <c r="G7" s="19"/>
      <c r="H7" s="20"/>
      <c r="I7" s="20"/>
      <c r="J7" s="20"/>
      <c r="K7" s="20"/>
      <c r="L7" s="21"/>
      <c r="M7" s="35"/>
      <c r="N7" s="35"/>
      <c r="O7" s="35"/>
      <c r="P7" s="21"/>
      <c r="Q7" s="35"/>
      <c r="R7" s="35"/>
      <c r="S7" s="35"/>
    </row>
    <row r="8" spans="1:23" s="40" customFormat="1" x14ac:dyDescent="0.35">
      <c r="B8" s="41" t="s">
        <v>88</v>
      </c>
      <c r="C8" s="42"/>
      <c r="D8" s="42"/>
      <c r="E8" s="42"/>
      <c r="F8" s="42"/>
      <c r="G8" s="42"/>
      <c r="H8" s="43"/>
      <c r="I8" s="44"/>
      <c r="J8" s="44"/>
      <c r="K8" s="44"/>
      <c r="L8" s="44"/>
      <c r="M8" s="45"/>
      <c r="N8" s="55"/>
      <c r="O8" s="45"/>
      <c r="P8" s="44"/>
      <c r="Q8" s="45"/>
      <c r="R8" s="45"/>
      <c r="S8" s="55"/>
      <c r="T8" s="45"/>
    </row>
    <row r="9" spans="1:23" s="22" customFormat="1" x14ac:dyDescent="0.35">
      <c r="A9" s="28">
        <v>1</v>
      </c>
      <c r="B9" s="19" t="s">
        <v>79</v>
      </c>
      <c r="C9" s="26">
        <v>38</v>
      </c>
      <c r="D9" s="26">
        <v>0</v>
      </c>
      <c r="E9" s="26">
        <v>296</v>
      </c>
      <c r="F9" s="26">
        <v>334</v>
      </c>
      <c r="G9" s="26"/>
      <c r="H9" s="19">
        <v>57.58</v>
      </c>
      <c r="I9" s="20">
        <v>0</v>
      </c>
      <c r="J9" s="20">
        <v>65.84</v>
      </c>
      <c r="K9" s="20">
        <v>65.44</v>
      </c>
      <c r="L9" s="20"/>
      <c r="M9" s="35">
        <v>390.30644000000001</v>
      </c>
      <c r="N9" s="56">
        <v>285.25511</v>
      </c>
      <c r="O9" s="35">
        <v>290.27747999999997</v>
      </c>
      <c r="P9" s="20"/>
      <c r="Q9" s="35">
        <v>7019.18</v>
      </c>
      <c r="R9" s="35">
        <v>4553.1000000000004</v>
      </c>
      <c r="S9" s="56">
        <v>4671</v>
      </c>
      <c r="T9" s="35"/>
    </row>
    <row r="10" spans="1:23" s="22" customFormat="1" x14ac:dyDescent="0.35">
      <c r="A10" s="28">
        <v>2</v>
      </c>
      <c r="B10" s="19" t="s">
        <v>80</v>
      </c>
      <c r="C10" s="26">
        <v>100</v>
      </c>
      <c r="D10" s="26">
        <v>2</v>
      </c>
      <c r="E10" s="26">
        <v>468</v>
      </c>
      <c r="F10" s="26">
        <v>570</v>
      </c>
      <c r="G10" s="26"/>
      <c r="H10" s="19">
        <v>98.59</v>
      </c>
      <c r="I10" s="20">
        <v>82</v>
      </c>
      <c r="J10" s="20">
        <v>90.45</v>
      </c>
      <c r="K10" s="20">
        <v>91.78</v>
      </c>
      <c r="L10" s="20"/>
      <c r="M10" s="35">
        <v>651.34480000000008</v>
      </c>
      <c r="N10" s="56">
        <v>534.01181000000008</v>
      </c>
      <c r="O10" s="35">
        <v>554.49088000000006</v>
      </c>
      <c r="P10" s="20"/>
      <c r="Q10" s="35">
        <v>6473.04</v>
      </c>
      <c r="R10" s="35">
        <v>5827.65</v>
      </c>
      <c r="S10" s="56">
        <v>5940.3</v>
      </c>
      <c r="T10" s="35"/>
    </row>
    <row r="11" spans="1:23" s="22" customFormat="1" x14ac:dyDescent="0.35">
      <c r="A11" s="28">
        <v>3</v>
      </c>
      <c r="B11" s="19" t="s">
        <v>81</v>
      </c>
      <c r="C11" s="26">
        <v>35</v>
      </c>
      <c r="D11" s="26">
        <v>0</v>
      </c>
      <c r="E11" s="26">
        <v>455</v>
      </c>
      <c r="F11" s="26">
        <v>490</v>
      </c>
      <c r="G11" s="26"/>
      <c r="H11" s="19">
        <v>64.2</v>
      </c>
      <c r="I11" s="20">
        <v>0</v>
      </c>
      <c r="J11" s="20">
        <v>67.67</v>
      </c>
      <c r="K11" s="20">
        <v>67.430000000000007</v>
      </c>
      <c r="L11" s="20"/>
      <c r="M11" s="35">
        <v>290.34014000000002</v>
      </c>
      <c r="N11" s="56">
        <v>307.11432000000002</v>
      </c>
      <c r="O11" s="35">
        <v>305.88693999999998</v>
      </c>
      <c r="P11" s="20"/>
      <c r="Q11" s="35">
        <v>4575.51</v>
      </c>
      <c r="R11" s="35">
        <v>4659.25</v>
      </c>
      <c r="S11" s="56">
        <v>4653.13</v>
      </c>
      <c r="T11" s="35"/>
    </row>
    <row r="12" spans="1:23" s="22" customFormat="1" x14ac:dyDescent="0.35">
      <c r="A12" s="28">
        <v>4</v>
      </c>
      <c r="B12" s="19" t="s">
        <v>82</v>
      </c>
      <c r="C12" s="26">
        <v>6</v>
      </c>
      <c r="D12" s="26">
        <v>0</v>
      </c>
      <c r="E12" s="26">
        <v>166</v>
      </c>
      <c r="F12" s="26">
        <v>172</v>
      </c>
      <c r="G12" s="26"/>
      <c r="H12" s="19">
        <v>101.67</v>
      </c>
      <c r="I12" s="20">
        <v>0</v>
      </c>
      <c r="J12" s="20">
        <v>99.41</v>
      </c>
      <c r="K12" s="20">
        <v>99.5</v>
      </c>
      <c r="L12" s="20"/>
      <c r="M12" s="35">
        <v>616.41667000000007</v>
      </c>
      <c r="N12" s="56">
        <v>602.78499999999997</v>
      </c>
      <c r="O12" s="36">
        <v>603.36506999999995</v>
      </c>
      <c r="P12" s="32"/>
      <c r="Q12" s="36">
        <v>6021.69</v>
      </c>
      <c r="R12" s="36">
        <v>5829.72</v>
      </c>
      <c r="S12" s="57">
        <v>5837.89</v>
      </c>
      <c r="T12" s="36"/>
    </row>
    <row r="13" spans="1:23" s="22" customFormat="1" x14ac:dyDescent="0.35">
      <c r="A13" s="28">
        <v>5</v>
      </c>
      <c r="B13" s="19" t="s">
        <v>83</v>
      </c>
      <c r="C13" s="26">
        <v>35</v>
      </c>
      <c r="D13" s="26">
        <v>0</v>
      </c>
      <c r="E13" s="26">
        <v>365</v>
      </c>
      <c r="F13" s="26">
        <v>400</v>
      </c>
      <c r="G13" s="26"/>
      <c r="H13" s="19">
        <v>122.29</v>
      </c>
      <c r="I13" s="20">
        <v>0</v>
      </c>
      <c r="J13" s="20">
        <v>137.13</v>
      </c>
      <c r="K13" s="20">
        <v>135.69999999999999</v>
      </c>
      <c r="L13" s="20"/>
      <c r="M13" s="35">
        <v>840.86337000000003</v>
      </c>
      <c r="N13" s="56">
        <v>863.63256999999999</v>
      </c>
      <c r="O13" s="36">
        <v>861.37556000000006</v>
      </c>
      <c r="P13" s="32"/>
      <c r="Q13" s="36">
        <v>6756.98</v>
      </c>
      <c r="R13" s="36">
        <v>6441.11</v>
      </c>
      <c r="S13" s="57">
        <v>6472.42</v>
      </c>
      <c r="T13" s="36"/>
    </row>
    <row r="14" spans="1:23" s="22" customFormat="1" x14ac:dyDescent="0.35">
      <c r="A14" s="28">
        <v>6</v>
      </c>
      <c r="B14" s="19" t="s">
        <v>84</v>
      </c>
      <c r="C14" s="26">
        <v>10</v>
      </c>
      <c r="D14" s="26">
        <v>1</v>
      </c>
      <c r="E14" s="26">
        <v>235</v>
      </c>
      <c r="F14" s="26">
        <v>246</v>
      </c>
      <c r="G14" s="26"/>
      <c r="H14" s="19">
        <v>90.25</v>
      </c>
      <c r="I14" s="20">
        <v>64</v>
      </c>
      <c r="J14" s="20">
        <v>78.819999999999993</v>
      </c>
      <c r="K14" s="20">
        <v>79.16</v>
      </c>
      <c r="L14" s="20"/>
      <c r="M14" s="35">
        <v>377.5</v>
      </c>
      <c r="N14" s="56">
        <v>417.83517000000001</v>
      </c>
      <c r="O14" s="36">
        <v>416.36174</v>
      </c>
      <c r="P14" s="32"/>
      <c r="Q14" s="36">
        <v>4262.3500000000004</v>
      </c>
      <c r="R14" s="36">
        <v>5406.16</v>
      </c>
      <c r="S14" s="57">
        <v>5364.37</v>
      </c>
      <c r="T14" s="36"/>
    </row>
    <row r="15" spans="1:23" s="22" customFormat="1" x14ac:dyDescent="0.35">
      <c r="A15" s="28">
        <v>7</v>
      </c>
      <c r="B15" s="19" t="s">
        <v>85</v>
      </c>
      <c r="C15" s="26">
        <v>65</v>
      </c>
      <c r="D15" s="26">
        <v>1</v>
      </c>
      <c r="E15" s="26">
        <v>306</v>
      </c>
      <c r="F15" s="26">
        <v>372</v>
      </c>
      <c r="G15" s="26"/>
      <c r="H15" s="19">
        <v>68.58</v>
      </c>
      <c r="I15" s="20">
        <v>51</v>
      </c>
      <c r="J15" s="20">
        <v>67.97</v>
      </c>
      <c r="K15" s="20">
        <v>68.03</v>
      </c>
      <c r="L15" s="20"/>
      <c r="M15" s="35">
        <v>225.30915999999999</v>
      </c>
      <c r="N15" s="56">
        <v>279.99184000000002</v>
      </c>
      <c r="O15" s="36">
        <v>270.01931999999999</v>
      </c>
      <c r="P15" s="32"/>
      <c r="Q15" s="36">
        <v>3237.88</v>
      </c>
      <c r="R15" s="36">
        <v>4111.66</v>
      </c>
      <c r="S15" s="57">
        <v>3952.31</v>
      </c>
      <c r="T15" s="36"/>
    </row>
    <row r="16" spans="1:23" s="22" customFormat="1" x14ac:dyDescent="0.35">
      <c r="A16" s="28">
        <v>8</v>
      </c>
      <c r="B16" s="19" t="s">
        <v>86</v>
      </c>
      <c r="C16" s="26">
        <v>8</v>
      </c>
      <c r="D16" s="26">
        <v>0</v>
      </c>
      <c r="E16" s="26">
        <v>399</v>
      </c>
      <c r="F16" s="26">
        <v>407</v>
      </c>
      <c r="G16" s="26"/>
      <c r="H16" s="19">
        <v>68.75</v>
      </c>
      <c r="I16" s="20">
        <v>0</v>
      </c>
      <c r="J16" s="20">
        <v>64.44</v>
      </c>
      <c r="K16" s="20">
        <v>64.540000000000006</v>
      </c>
      <c r="L16" s="20"/>
      <c r="M16" s="35">
        <v>254.74986999999999</v>
      </c>
      <c r="N16" s="56">
        <v>193.85158999999999</v>
      </c>
      <c r="O16" s="36">
        <v>195.69003000000001</v>
      </c>
      <c r="P16" s="32"/>
      <c r="Q16" s="36">
        <v>3648.33</v>
      </c>
      <c r="R16" s="36">
        <v>3026.6</v>
      </c>
      <c r="S16" s="57">
        <v>3045.37</v>
      </c>
      <c r="T16" s="36"/>
    </row>
    <row r="17" spans="1:20" s="22" customFormat="1" x14ac:dyDescent="0.35">
      <c r="A17" s="28">
        <v>9</v>
      </c>
      <c r="B17" s="19" t="s">
        <v>64</v>
      </c>
      <c r="C17" s="26">
        <v>21</v>
      </c>
      <c r="D17" s="26">
        <v>1</v>
      </c>
      <c r="E17" s="26">
        <v>263</v>
      </c>
      <c r="F17" s="26">
        <v>285</v>
      </c>
      <c r="G17" s="26"/>
      <c r="H17" s="19">
        <v>91.95</v>
      </c>
      <c r="I17" s="20">
        <v>47</v>
      </c>
      <c r="J17" s="20">
        <v>70.42</v>
      </c>
      <c r="K17" s="20">
        <v>71.8</v>
      </c>
      <c r="L17" s="20"/>
      <c r="M17" s="35">
        <v>344.55</v>
      </c>
      <c r="N17" s="56">
        <v>264.93187</v>
      </c>
      <c r="O17" s="36">
        <v>271.47582</v>
      </c>
      <c r="P17" s="32"/>
      <c r="Q17" s="36">
        <v>4328.9799999999996</v>
      </c>
      <c r="R17" s="36">
        <v>3768.57</v>
      </c>
      <c r="S17" s="57">
        <v>3814.63</v>
      </c>
      <c r="T17" s="36"/>
    </row>
    <row r="18" spans="1:20" s="22" customFormat="1" x14ac:dyDescent="0.35">
      <c r="A18" s="28">
        <v>10</v>
      </c>
      <c r="B18" s="19" t="s">
        <v>87</v>
      </c>
      <c r="C18" s="26">
        <v>39</v>
      </c>
      <c r="D18" s="26">
        <v>5</v>
      </c>
      <c r="E18" s="26">
        <v>483</v>
      </c>
      <c r="F18" s="26">
        <v>527</v>
      </c>
      <c r="G18" s="26"/>
      <c r="H18" s="19">
        <v>79.680000000000007</v>
      </c>
      <c r="I18" s="20">
        <v>76.400000000000006</v>
      </c>
      <c r="J18" s="20">
        <v>75.89</v>
      </c>
      <c r="K18" s="20">
        <v>76.150000000000006</v>
      </c>
      <c r="L18" s="20"/>
      <c r="M18" s="35">
        <v>506.57052000000004</v>
      </c>
      <c r="N18" s="56">
        <v>368.10865000000001</v>
      </c>
      <c r="O18" s="36">
        <v>379.08231999999998</v>
      </c>
      <c r="P18" s="32"/>
      <c r="Q18" s="36">
        <v>6238.49</v>
      </c>
      <c r="R18" s="36">
        <v>4727.62</v>
      </c>
      <c r="S18" s="57">
        <v>4847.3599999999997</v>
      </c>
      <c r="T18" s="36"/>
    </row>
    <row r="19" spans="1:20" s="22" customFormat="1" x14ac:dyDescent="0.35">
      <c r="A19" s="28"/>
      <c r="B19" s="19"/>
      <c r="C19" s="26"/>
      <c r="D19" s="26"/>
      <c r="E19" s="26"/>
      <c r="F19" s="26"/>
      <c r="G19" s="19"/>
      <c r="H19" s="20"/>
      <c r="I19" s="20"/>
      <c r="J19" s="20"/>
      <c r="K19" s="20"/>
      <c r="L19" s="21"/>
      <c r="M19" s="35"/>
      <c r="N19" s="35"/>
      <c r="O19" s="35"/>
      <c r="P19" s="21"/>
      <c r="Q19" s="35"/>
      <c r="R19" s="35"/>
      <c r="S19" s="35"/>
    </row>
    <row r="20" spans="1:20" s="40" customFormat="1" x14ac:dyDescent="0.35">
      <c r="A20" s="46"/>
      <c r="B20" s="41" t="s">
        <v>89</v>
      </c>
      <c r="C20" s="42"/>
      <c r="D20" s="42"/>
      <c r="E20" s="42"/>
      <c r="F20" s="43"/>
      <c r="G20" s="43"/>
      <c r="H20" s="44"/>
      <c r="I20" s="44"/>
      <c r="J20" s="44"/>
      <c r="K20" s="44"/>
      <c r="L20" s="44"/>
      <c r="M20" s="55"/>
      <c r="N20" s="45"/>
      <c r="O20" s="45"/>
      <c r="P20" s="44"/>
      <c r="Q20" s="45"/>
      <c r="R20" s="55"/>
      <c r="S20" s="45"/>
      <c r="T20" s="45"/>
    </row>
    <row r="21" spans="1:20" x14ac:dyDescent="0.35">
      <c r="A21" s="28">
        <v>1</v>
      </c>
      <c r="B21" s="15" t="s">
        <v>8</v>
      </c>
      <c r="C21" s="6">
        <v>29</v>
      </c>
      <c r="D21" s="6">
        <v>0</v>
      </c>
      <c r="E21" s="38">
        <v>99</v>
      </c>
      <c r="F21" s="1">
        <v>128</v>
      </c>
      <c r="H21" s="7">
        <v>42.33</v>
      </c>
      <c r="I21" s="7">
        <v>0</v>
      </c>
      <c r="J21" s="7">
        <v>58.61</v>
      </c>
      <c r="K21" s="7">
        <v>58.08</v>
      </c>
      <c r="M21" s="34">
        <v>238</v>
      </c>
      <c r="N21" s="34">
        <v>205.41686999999999</v>
      </c>
      <c r="O21" s="34">
        <v>206.46794</v>
      </c>
      <c r="Q21" s="34">
        <v>5570.49</v>
      </c>
      <c r="R21" s="34">
        <v>3708.15</v>
      </c>
      <c r="S21" s="34">
        <v>3768.23</v>
      </c>
      <c r="T21" s="34"/>
    </row>
    <row r="22" spans="1:20" x14ac:dyDescent="0.35">
      <c r="A22" s="28">
        <v>2</v>
      </c>
      <c r="B22" s="15" t="s">
        <v>9</v>
      </c>
      <c r="C22" s="6">
        <v>1</v>
      </c>
      <c r="D22" s="6">
        <v>0</v>
      </c>
      <c r="E22" s="38">
        <v>50</v>
      </c>
      <c r="F22" s="1">
        <v>51</v>
      </c>
      <c r="H22" s="7">
        <v>108</v>
      </c>
      <c r="I22" s="7">
        <v>0</v>
      </c>
      <c r="J22" s="7">
        <v>101.46</v>
      </c>
      <c r="K22" s="7">
        <v>101.62</v>
      </c>
      <c r="M22" s="59" t="s">
        <v>100</v>
      </c>
      <c r="N22" s="34">
        <v>458.10259000000002</v>
      </c>
      <c r="O22" s="34">
        <v>471.65003000000002</v>
      </c>
      <c r="Q22" s="59" t="s">
        <v>100</v>
      </c>
      <c r="R22" s="34">
        <v>4718.6000000000004</v>
      </c>
      <c r="S22" s="34">
        <v>4832.12</v>
      </c>
      <c r="T22" s="34"/>
    </row>
    <row r="23" spans="1:20" x14ac:dyDescent="0.35">
      <c r="A23" s="28">
        <v>3</v>
      </c>
      <c r="B23" s="15" t="s">
        <v>10</v>
      </c>
      <c r="C23" s="6">
        <v>5</v>
      </c>
      <c r="D23" s="6">
        <v>0</v>
      </c>
      <c r="E23" s="38">
        <v>74</v>
      </c>
      <c r="F23" s="1">
        <v>79</v>
      </c>
      <c r="H23" s="7">
        <v>42.8</v>
      </c>
      <c r="I23" s="7">
        <v>0</v>
      </c>
      <c r="J23" s="7">
        <v>42.33</v>
      </c>
      <c r="K23" s="7">
        <v>42.38</v>
      </c>
      <c r="M23" s="34">
        <v>330</v>
      </c>
      <c r="N23" s="34">
        <v>238.4</v>
      </c>
      <c r="O23" s="34">
        <v>247.56</v>
      </c>
      <c r="Q23" s="34">
        <v>8451.0400000000009</v>
      </c>
      <c r="R23" s="34">
        <v>5853.56</v>
      </c>
      <c r="S23" s="34">
        <v>6113.31</v>
      </c>
      <c r="T23" s="34"/>
    </row>
    <row r="24" spans="1:20" x14ac:dyDescent="0.35">
      <c r="A24" s="28">
        <v>4</v>
      </c>
      <c r="B24" s="15" t="s">
        <v>11</v>
      </c>
      <c r="C24" s="6">
        <v>3</v>
      </c>
      <c r="D24" s="6">
        <v>0</v>
      </c>
      <c r="E24" s="38">
        <v>73</v>
      </c>
      <c r="F24" s="1">
        <v>76</v>
      </c>
      <c r="H24" s="7">
        <v>80.67</v>
      </c>
      <c r="I24" s="7">
        <v>0</v>
      </c>
      <c r="J24" s="7">
        <v>70.739999999999995</v>
      </c>
      <c r="K24" s="7">
        <v>71.180000000000007</v>
      </c>
      <c r="M24" s="34">
        <v>439.89242999999999</v>
      </c>
      <c r="N24" s="34">
        <v>324.53003000000001</v>
      </c>
      <c r="O24" s="34">
        <v>329.61955</v>
      </c>
      <c r="Q24" s="34">
        <v>5334.75</v>
      </c>
      <c r="R24" s="34">
        <v>4723.43</v>
      </c>
      <c r="S24" s="34">
        <v>4750.3999999999996</v>
      </c>
      <c r="T24" s="34"/>
    </row>
    <row r="25" spans="1:20" x14ac:dyDescent="0.35">
      <c r="A25" s="28">
        <v>5</v>
      </c>
      <c r="B25" s="15" t="s">
        <v>12</v>
      </c>
      <c r="C25" s="6">
        <v>1</v>
      </c>
      <c r="D25" s="6">
        <v>0</v>
      </c>
      <c r="E25" s="38">
        <v>42</v>
      </c>
      <c r="F25" s="1">
        <v>43</v>
      </c>
      <c r="H25" s="7">
        <v>128</v>
      </c>
      <c r="I25" s="7">
        <v>0</v>
      </c>
      <c r="J25" s="7">
        <v>85.97</v>
      </c>
      <c r="K25" s="7">
        <v>87.08</v>
      </c>
      <c r="M25" s="59" t="s">
        <v>100</v>
      </c>
      <c r="N25" s="34">
        <v>427.54167000000001</v>
      </c>
      <c r="O25" s="34">
        <v>435.04053999999996</v>
      </c>
      <c r="Q25" s="59" t="s">
        <v>100</v>
      </c>
      <c r="R25" s="34">
        <v>4979.4799999999996</v>
      </c>
      <c r="S25" s="34">
        <v>4993.76</v>
      </c>
      <c r="T25" s="34"/>
    </row>
    <row r="26" spans="1:20" x14ac:dyDescent="0.35">
      <c r="A26" s="28">
        <v>6</v>
      </c>
      <c r="B26" s="15" t="s">
        <v>13</v>
      </c>
      <c r="C26" s="6">
        <v>6</v>
      </c>
      <c r="D26" s="6">
        <v>0</v>
      </c>
      <c r="E26" s="38">
        <v>62</v>
      </c>
      <c r="F26" s="1">
        <v>68</v>
      </c>
      <c r="H26" s="7">
        <v>111</v>
      </c>
      <c r="I26" s="7">
        <v>0</v>
      </c>
      <c r="J26" s="7">
        <v>75.7</v>
      </c>
      <c r="K26" s="7">
        <v>76.98</v>
      </c>
      <c r="M26" s="34">
        <v>688</v>
      </c>
      <c r="N26" s="34">
        <v>365.52151000000003</v>
      </c>
      <c r="O26" s="34">
        <v>377.24799999999999</v>
      </c>
      <c r="Q26" s="34">
        <v>6455.11</v>
      </c>
      <c r="R26" s="34">
        <v>4989.53</v>
      </c>
      <c r="S26" s="34">
        <v>5042.82</v>
      </c>
      <c r="T26" s="34"/>
    </row>
    <row r="27" spans="1:20" x14ac:dyDescent="0.35">
      <c r="A27" s="28">
        <v>7</v>
      </c>
      <c r="B27" s="15" t="s">
        <v>14</v>
      </c>
      <c r="C27" s="6">
        <v>27</v>
      </c>
      <c r="D27" s="6">
        <v>0</v>
      </c>
      <c r="E27" s="38">
        <v>104</v>
      </c>
      <c r="F27" s="1">
        <v>131</v>
      </c>
      <c r="H27" s="7">
        <v>121.41</v>
      </c>
      <c r="I27" s="7">
        <v>0</v>
      </c>
      <c r="J27" s="7">
        <v>121.28</v>
      </c>
      <c r="K27" s="7">
        <v>121.31</v>
      </c>
      <c r="M27" s="34">
        <v>939.15958000000001</v>
      </c>
      <c r="N27" s="34">
        <v>827.30474000000004</v>
      </c>
      <c r="O27" s="34">
        <v>852.68356999999992</v>
      </c>
      <c r="Q27" s="34">
        <v>7897.94</v>
      </c>
      <c r="R27" s="34">
        <v>6996.08</v>
      </c>
      <c r="S27" s="34">
        <v>7200.7</v>
      </c>
      <c r="T27" s="34"/>
    </row>
    <row r="28" spans="1:20" x14ac:dyDescent="0.35">
      <c r="A28" s="28">
        <v>8</v>
      </c>
      <c r="B28" s="15" t="s">
        <v>15</v>
      </c>
      <c r="C28" s="6">
        <v>5</v>
      </c>
      <c r="D28" s="6">
        <v>0</v>
      </c>
      <c r="E28" s="38">
        <v>98</v>
      </c>
      <c r="F28" s="1">
        <v>103</v>
      </c>
      <c r="H28" s="7">
        <v>117.5</v>
      </c>
      <c r="I28" s="7">
        <v>0</v>
      </c>
      <c r="J28" s="7">
        <v>91.16</v>
      </c>
      <c r="K28" s="7">
        <v>91.71</v>
      </c>
      <c r="M28" s="34">
        <v>762.5</v>
      </c>
      <c r="N28" s="34">
        <v>559.43601000000001</v>
      </c>
      <c r="O28" s="34">
        <v>563.85043999999994</v>
      </c>
      <c r="Q28" s="34">
        <v>6713.32</v>
      </c>
      <c r="R28" s="34">
        <v>6239.68</v>
      </c>
      <c r="S28" s="34">
        <v>6249.98</v>
      </c>
      <c r="T28" s="34"/>
    </row>
    <row r="29" spans="1:20" x14ac:dyDescent="0.35">
      <c r="A29" s="28">
        <v>9</v>
      </c>
      <c r="B29" s="15" t="s">
        <v>16</v>
      </c>
      <c r="C29" s="6">
        <v>59</v>
      </c>
      <c r="D29" s="6">
        <v>2</v>
      </c>
      <c r="E29" s="38">
        <v>93</v>
      </c>
      <c r="F29" s="1">
        <v>154</v>
      </c>
      <c r="H29" s="7">
        <v>85.41</v>
      </c>
      <c r="I29" s="7">
        <v>82</v>
      </c>
      <c r="J29" s="7">
        <v>74.760000000000005</v>
      </c>
      <c r="K29" s="7">
        <v>78.709999999999994</v>
      </c>
      <c r="M29" s="34">
        <v>499.13724999999999</v>
      </c>
      <c r="N29" s="34">
        <v>387.33428999999995</v>
      </c>
      <c r="O29" s="34">
        <v>431.53546</v>
      </c>
      <c r="Q29" s="34">
        <v>5761.33</v>
      </c>
      <c r="R29" s="34">
        <v>5086.37</v>
      </c>
      <c r="S29" s="34">
        <v>5353.21</v>
      </c>
      <c r="T29" s="34"/>
    </row>
    <row r="30" spans="1:20" x14ac:dyDescent="0.35">
      <c r="A30" s="28">
        <v>10</v>
      </c>
      <c r="B30" s="15" t="s">
        <v>17</v>
      </c>
      <c r="C30" s="6">
        <v>2</v>
      </c>
      <c r="D30" s="6">
        <v>0</v>
      </c>
      <c r="E30" s="38">
        <v>69</v>
      </c>
      <c r="F30" s="1">
        <v>71</v>
      </c>
      <c r="H30" s="7">
        <v>80.5</v>
      </c>
      <c r="I30" s="7">
        <v>0</v>
      </c>
      <c r="J30" s="7">
        <v>80.39</v>
      </c>
      <c r="K30" s="7">
        <v>80.39</v>
      </c>
      <c r="M30" s="59" t="s">
        <v>100</v>
      </c>
      <c r="N30" s="34">
        <v>438.40105999999997</v>
      </c>
      <c r="O30" s="34">
        <v>439.64102000000003</v>
      </c>
      <c r="Q30" s="59" t="s">
        <v>100</v>
      </c>
      <c r="R30" s="34">
        <v>5604.95</v>
      </c>
      <c r="S30" s="34">
        <v>5606.43</v>
      </c>
      <c r="T30" s="34"/>
    </row>
    <row r="31" spans="1:20" x14ac:dyDescent="0.35">
      <c r="A31" s="28">
        <v>11</v>
      </c>
      <c r="B31" s="15" t="s">
        <v>96</v>
      </c>
      <c r="C31" s="6">
        <v>0</v>
      </c>
      <c r="D31" s="6">
        <v>0</v>
      </c>
      <c r="E31" s="38">
        <v>144</v>
      </c>
      <c r="F31" s="1">
        <v>144</v>
      </c>
      <c r="H31" s="7">
        <v>0</v>
      </c>
      <c r="I31" s="7">
        <v>0</v>
      </c>
      <c r="J31" s="7">
        <v>61.33</v>
      </c>
      <c r="K31" s="7">
        <v>61.33</v>
      </c>
      <c r="M31" s="34">
        <v>0</v>
      </c>
      <c r="N31" s="34">
        <v>308.38289000000003</v>
      </c>
      <c r="O31" s="34">
        <v>308.38289000000003</v>
      </c>
      <c r="Q31" s="34">
        <v>0</v>
      </c>
      <c r="R31" s="34">
        <v>5021.75</v>
      </c>
      <c r="S31" s="34">
        <v>5021.75</v>
      </c>
      <c r="T31" s="34"/>
    </row>
    <row r="32" spans="1:20" x14ac:dyDescent="0.35">
      <c r="A32" s="28">
        <v>12</v>
      </c>
      <c r="B32" s="15" t="s">
        <v>97</v>
      </c>
      <c r="C32" s="6">
        <v>4</v>
      </c>
      <c r="D32" s="6">
        <v>0</v>
      </c>
      <c r="E32" s="38">
        <v>7</v>
      </c>
      <c r="F32" s="1">
        <v>11</v>
      </c>
      <c r="H32" s="7">
        <v>72.25</v>
      </c>
      <c r="I32" s="7">
        <v>0</v>
      </c>
      <c r="J32" s="7">
        <v>78.14</v>
      </c>
      <c r="K32" s="7">
        <v>76</v>
      </c>
      <c r="M32" s="34">
        <v>399.625</v>
      </c>
      <c r="N32" s="34">
        <v>195.04076000000001</v>
      </c>
      <c r="O32" s="34">
        <v>331.43025</v>
      </c>
      <c r="Q32" s="34">
        <v>5583.21</v>
      </c>
      <c r="R32" s="34">
        <v>2228.75</v>
      </c>
      <c r="S32" s="34">
        <v>4465.0600000000004</v>
      </c>
      <c r="T32" s="34"/>
    </row>
    <row r="33" spans="1:20" x14ac:dyDescent="0.35">
      <c r="A33" s="28">
        <v>13</v>
      </c>
      <c r="B33" s="15" t="s">
        <v>18</v>
      </c>
      <c r="C33" s="6">
        <v>0</v>
      </c>
      <c r="D33" s="6">
        <v>0</v>
      </c>
      <c r="E33" s="38">
        <v>57</v>
      </c>
      <c r="F33" s="1">
        <v>57</v>
      </c>
      <c r="H33" s="7">
        <v>0</v>
      </c>
      <c r="I33" s="7">
        <v>0</v>
      </c>
      <c r="J33" s="7">
        <v>74.33</v>
      </c>
      <c r="K33" s="7">
        <v>74.33</v>
      </c>
      <c r="M33" s="34">
        <v>0</v>
      </c>
      <c r="N33" s="34">
        <v>321.75016999999997</v>
      </c>
      <c r="O33" s="34">
        <v>321.75016999999997</v>
      </c>
      <c r="Q33" s="34">
        <v>0</v>
      </c>
      <c r="R33" s="34">
        <v>4394.25</v>
      </c>
      <c r="S33" s="34">
        <v>4394.25</v>
      </c>
      <c r="T33" s="34"/>
    </row>
    <row r="34" spans="1:20" x14ac:dyDescent="0.35">
      <c r="A34" s="28">
        <v>14</v>
      </c>
      <c r="B34" s="15" t="s">
        <v>19</v>
      </c>
      <c r="C34" s="6">
        <v>0</v>
      </c>
      <c r="D34" s="6">
        <v>0</v>
      </c>
      <c r="E34" s="38">
        <v>13</v>
      </c>
      <c r="F34" s="1">
        <v>13</v>
      </c>
      <c r="H34" s="7">
        <v>0</v>
      </c>
      <c r="I34" s="7">
        <v>0</v>
      </c>
      <c r="J34" s="7">
        <v>79.459999999999994</v>
      </c>
      <c r="K34" s="7">
        <v>79.459999999999994</v>
      </c>
      <c r="M34" s="34">
        <v>0</v>
      </c>
      <c r="N34" s="34">
        <v>313.61538000000002</v>
      </c>
      <c r="O34" s="34">
        <v>313.61538000000002</v>
      </c>
      <c r="Q34" s="34">
        <v>0</v>
      </c>
      <c r="R34" s="34">
        <v>4032.16</v>
      </c>
      <c r="S34" s="34">
        <v>4032.16</v>
      </c>
      <c r="T34" s="34"/>
    </row>
    <row r="35" spans="1:20" x14ac:dyDescent="0.35">
      <c r="A35" s="28">
        <v>15</v>
      </c>
      <c r="B35" s="15" t="s">
        <v>20</v>
      </c>
      <c r="C35" s="6">
        <v>9</v>
      </c>
      <c r="D35" s="6">
        <v>0</v>
      </c>
      <c r="E35" s="38">
        <v>25</v>
      </c>
      <c r="F35" s="1">
        <v>34</v>
      </c>
      <c r="H35" s="7">
        <v>69</v>
      </c>
      <c r="I35" s="7">
        <v>0</v>
      </c>
      <c r="J35" s="7">
        <v>73.099999999999994</v>
      </c>
      <c r="K35" s="7">
        <v>71.97</v>
      </c>
      <c r="M35" s="34">
        <v>275.46303999999998</v>
      </c>
      <c r="N35" s="34">
        <v>350.16828999999996</v>
      </c>
      <c r="O35" s="34">
        <v>329.55995000000001</v>
      </c>
      <c r="Q35" s="34">
        <v>3929.32</v>
      </c>
      <c r="R35" s="34">
        <v>4882.6499999999996</v>
      </c>
      <c r="S35" s="34">
        <v>4619.66</v>
      </c>
      <c r="T35" s="34"/>
    </row>
    <row r="36" spans="1:20" x14ac:dyDescent="0.35">
      <c r="A36" s="28">
        <v>16</v>
      </c>
      <c r="B36" s="15" t="s">
        <v>21</v>
      </c>
      <c r="C36" s="6">
        <v>2</v>
      </c>
      <c r="D36" s="6">
        <v>0</v>
      </c>
      <c r="E36" s="38">
        <v>58</v>
      </c>
      <c r="F36" s="1">
        <v>60</v>
      </c>
      <c r="H36" s="7">
        <v>43</v>
      </c>
      <c r="I36" s="7">
        <v>0</v>
      </c>
      <c r="J36" s="7">
        <v>73.73</v>
      </c>
      <c r="K36" s="7">
        <v>72.569999999999993</v>
      </c>
      <c r="M36" s="59" t="s">
        <v>100</v>
      </c>
      <c r="N36" s="34">
        <v>330.46939000000003</v>
      </c>
      <c r="O36" s="34">
        <v>327.05883</v>
      </c>
      <c r="Q36" s="59" t="s">
        <v>100</v>
      </c>
      <c r="R36" s="34">
        <v>4507.3900000000003</v>
      </c>
      <c r="S36" s="34">
        <v>4552.7</v>
      </c>
      <c r="T36" s="34"/>
    </row>
    <row r="37" spans="1:20" x14ac:dyDescent="0.35">
      <c r="A37" s="28">
        <v>17</v>
      </c>
      <c r="B37" s="15" t="s">
        <v>22</v>
      </c>
      <c r="C37" s="6">
        <v>8</v>
      </c>
      <c r="D37" s="6">
        <v>0</v>
      </c>
      <c r="E37" s="38">
        <v>64</v>
      </c>
      <c r="F37" s="1">
        <v>72</v>
      </c>
      <c r="H37" s="7">
        <v>69.5</v>
      </c>
      <c r="I37" s="7">
        <v>0</v>
      </c>
      <c r="J37" s="7">
        <v>65.819999999999993</v>
      </c>
      <c r="K37" s="7">
        <v>66.14</v>
      </c>
      <c r="M37" s="34">
        <v>381.16667000000001</v>
      </c>
      <c r="N37" s="34">
        <v>281.37465999999995</v>
      </c>
      <c r="O37" s="34">
        <v>291.03194999999999</v>
      </c>
      <c r="Q37" s="34">
        <v>5447.02</v>
      </c>
      <c r="R37" s="34">
        <v>4499</v>
      </c>
      <c r="S37" s="34">
        <v>4590.74</v>
      </c>
      <c r="T37" s="34"/>
    </row>
    <row r="38" spans="1:20" x14ac:dyDescent="0.35">
      <c r="A38" s="28">
        <v>18</v>
      </c>
      <c r="B38" s="15" t="s">
        <v>23</v>
      </c>
      <c r="C38" s="6">
        <v>12</v>
      </c>
      <c r="D38" s="6">
        <v>0</v>
      </c>
      <c r="E38" s="38">
        <v>87</v>
      </c>
      <c r="F38" s="1">
        <v>99</v>
      </c>
      <c r="H38" s="7">
        <v>58.2</v>
      </c>
      <c r="I38" s="7">
        <v>0</v>
      </c>
      <c r="J38" s="7">
        <v>66.599999999999994</v>
      </c>
      <c r="K38" s="7">
        <v>65.63</v>
      </c>
      <c r="M38" s="34">
        <v>213.4</v>
      </c>
      <c r="N38" s="34">
        <v>288.78014000000002</v>
      </c>
      <c r="O38" s="34">
        <v>279.35762</v>
      </c>
      <c r="Q38" s="34">
        <v>3949.03</v>
      </c>
      <c r="R38" s="34">
        <v>4540.87</v>
      </c>
      <c r="S38" s="34">
        <v>4466.8900000000003</v>
      </c>
      <c r="T38" s="34"/>
    </row>
    <row r="39" spans="1:20" x14ac:dyDescent="0.35">
      <c r="A39" s="28">
        <v>19</v>
      </c>
      <c r="B39" s="15" t="s">
        <v>24</v>
      </c>
      <c r="C39" s="6">
        <v>4</v>
      </c>
      <c r="D39" s="6">
        <v>0</v>
      </c>
      <c r="E39" s="38">
        <v>82</v>
      </c>
      <c r="F39" s="1">
        <v>86</v>
      </c>
      <c r="H39" s="7">
        <v>88.75</v>
      </c>
      <c r="I39" s="7">
        <v>0</v>
      </c>
      <c r="J39" s="7">
        <v>93.95</v>
      </c>
      <c r="K39" s="7">
        <v>93.7</v>
      </c>
      <c r="M39" s="34">
        <v>505.875</v>
      </c>
      <c r="N39" s="34">
        <v>519.76292999999998</v>
      </c>
      <c r="O39" s="34">
        <v>519.04147999999998</v>
      </c>
      <c r="Q39" s="34">
        <v>5934.3</v>
      </c>
      <c r="R39" s="34">
        <v>5700.08</v>
      </c>
      <c r="S39" s="34">
        <v>5712.25</v>
      </c>
      <c r="T39" s="34"/>
    </row>
    <row r="40" spans="1:20" x14ac:dyDescent="0.35">
      <c r="A40" s="28">
        <v>20</v>
      </c>
      <c r="B40" s="15" t="s">
        <v>25</v>
      </c>
      <c r="C40" s="6">
        <v>1</v>
      </c>
      <c r="D40" s="6">
        <v>0</v>
      </c>
      <c r="E40" s="38">
        <v>50</v>
      </c>
      <c r="F40" s="1">
        <v>51</v>
      </c>
      <c r="H40" s="7">
        <v>101</v>
      </c>
      <c r="I40" s="7">
        <v>0</v>
      </c>
      <c r="J40" s="7">
        <v>83.69</v>
      </c>
      <c r="K40" s="7">
        <v>84.07</v>
      </c>
      <c r="M40" s="59" t="s">
        <v>100</v>
      </c>
      <c r="N40" s="34">
        <v>414.91708</v>
      </c>
      <c r="O40" s="34">
        <v>415.68844000000001</v>
      </c>
      <c r="Q40" s="59" t="s">
        <v>100</v>
      </c>
      <c r="R40" s="34">
        <v>4743.03</v>
      </c>
      <c r="S40" s="34">
        <v>4734.3900000000003</v>
      </c>
      <c r="T40" s="34"/>
    </row>
    <row r="41" spans="1:20" x14ac:dyDescent="0.35">
      <c r="A41" s="28">
        <v>21</v>
      </c>
      <c r="B41" s="15" t="s">
        <v>26</v>
      </c>
      <c r="C41" s="6">
        <v>1</v>
      </c>
      <c r="D41" s="6">
        <v>0</v>
      </c>
      <c r="E41" s="38">
        <v>34</v>
      </c>
      <c r="F41" s="1">
        <v>35</v>
      </c>
      <c r="H41" s="7">
        <v>154</v>
      </c>
      <c r="I41" s="7">
        <v>0</v>
      </c>
      <c r="J41" s="7">
        <v>143.22999999999999</v>
      </c>
      <c r="K41" s="7">
        <v>143.63</v>
      </c>
      <c r="M41" s="59" t="s">
        <v>100</v>
      </c>
      <c r="N41" s="34">
        <v>1152.768</v>
      </c>
      <c r="O41" s="34">
        <v>1155.8572799999999</v>
      </c>
      <c r="Q41" s="59" t="s">
        <v>100</v>
      </c>
      <c r="R41" s="34">
        <v>7944.65</v>
      </c>
      <c r="S41" s="34">
        <v>7946.34</v>
      </c>
      <c r="T41" s="34"/>
    </row>
    <row r="42" spans="1:20" x14ac:dyDescent="0.35">
      <c r="A42" s="28">
        <v>22</v>
      </c>
      <c r="B42" s="15" t="s">
        <v>27</v>
      </c>
      <c r="C42" s="6">
        <v>0</v>
      </c>
      <c r="D42" s="6">
        <v>0</v>
      </c>
      <c r="E42" s="38">
        <v>11</v>
      </c>
      <c r="F42" s="1">
        <v>11</v>
      </c>
      <c r="H42" s="7">
        <v>0</v>
      </c>
      <c r="I42" s="7">
        <v>0</v>
      </c>
      <c r="J42" s="7">
        <v>114.44</v>
      </c>
      <c r="K42" s="7">
        <v>114.44</v>
      </c>
      <c r="M42" s="34">
        <v>0</v>
      </c>
      <c r="N42" s="34">
        <v>416.02640000000002</v>
      </c>
      <c r="O42" s="34">
        <v>416.02640000000002</v>
      </c>
      <c r="Q42" s="34">
        <v>0</v>
      </c>
      <c r="R42" s="34">
        <v>6316.26</v>
      </c>
      <c r="S42" s="34">
        <v>6316.26</v>
      </c>
      <c r="T42" s="34"/>
    </row>
    <row r="43" spans="1:20" x14ac:dyDescent="0.35">
      <c r="A43" s="28">
        <v>23</v>
      </c>
      <c r="B43" s="15" t="s">
        <v>28</v>
      </c>
      <c r="C43" s="6">
        <v>3</v>
      </c>
      <c r="D43" s="6">
        <v>0</v>
      </c>
      <c r="E43" s="38">
        <v>37</v>
      </c>
      <c r="F43" s="1">
        <v>40</v>
      </c>
      <c r="H43" s="7">
        <v>119.67</v>
      </c>
      <c r="I43" s="7">
        <v>0</v>
      </c>
      <c r="J43" s="7">
        <v>115.93</v>
      </c>
      <c r="K43" s="7">
        <v>116.29</v>
      </c>
      <c r="M43" s="34">
        <v>1027.60933</v>
      </c>
      <c r="N43" s="34">
        <v>761.91670999999997</v>
      </c>
      <c r="O43" s="34">
        <v>791.43810999999994</v>
      </c>
      <c r="Q43" s="34">
        <v>8027.21</v>
      </c>
      <c r="R43" s="34">
        <v>7010.62</v>
      </c>
      <c r="S43" s="34">
        <v>7123.57</v>
      </c>
      <c r="T43" s="34"/>
    </row>
    <row r="44" spans="1:20" x14ac:dyDescent="0.35">
      <c r="A44" s="28">
        <v>24</v>
      </c>
      <c r="B44" s="15" t="s">
        <v>29</v>
      </c>
      <c r="C44" s="6">
        <v>2</v>
      </c>
      <c r="D44" s="6">
        <v>0</v>
      </c>
      <c r="E44" s="38">
        <v>42</v>
      </c>
      <c r="F44" s="1">
        <v>44</v>
      </c>
      <c r="H44" s="7">
        <v>214.5</v>
      </c>
      <c r="I44" s="7">
        <v>0</v>
      </c>
      <c r="J44" s="7">
        <v>145.18</v>
      </c>
      <c r="K44" s="7">
        <v>148.56</v>
      </c>
      <c r="M44" s="59" t="s">
        <v>100</v>
      </c>
      <c r="N44" s="34">
        <v>1047.6163300000001</v>
      </c>
      <c r="O44" s="34">
        <v>1030.0313100000001</v>
      </c>
      <c r="Q44" s="59" t="s">
        <v>100</v>
      </c>
      <c r="R44" s="34">
        <v>7359.74</v>
      </c>
      <c r="S44" s="34">
        <v>7189.11</v>
      </c>
      <c r="T44" s="34"/>
    </row>
    <row r="45" spans="1:20" x14ac:dyDescent="0.35">
      <c r="A45" s="28">
        <v>25</v>
      </c>
      <c r="B45" s="15" t="s">
        <v>30</v>
      </c>
      <c r="C45" s="6">
        <v>2</v>
      </c>
      <c r="D45" s="6">
        <v>0</v>
      </c>
      <c r="E45" s="38">
        <v>58</v>
      </c>
      <c r="F45" s="1">
        <v>60</v>
      </c>
      <c r="H45" s="7">
        <v>114.5</v>
      </c>
      <c r="I45" s="7">
        <v>0</v>
      </c>
      <c r="J45" s="7">
        <v>129.56</v>
      </c>
      <c r="K45" s="7">
        <v>129.02000000000001</v>
      </c>
      <c r="M45" s="59" t="s">
        <v>100</v>
      </c>
      <c r="N45" s="34">
        <v>815.30194999999992</v>
      </c>
      <c r="O45" s="34">
        <v>818.6241</v>
      </c>
      <c r="Q45" s="59" t="s">
        <v>100</v>
      </c>
      <c r="R45" s="34">
        <v>6295.26</v>
      </c>
      <c r="S45" s="34">
        <v>6358.54</v>
      </c>
      <c r="T45" s="34"/>
    </row>
    <row r="46" spans="1:20" x14ac:dyDescent="0.35">
      <c r="A46" s="28">
        <v>26</v>
      </c>
      <c r="B46" s="15" t="s">
        <v>31</v>
      </c>
      <c r="C46" s="6">
        <v>15</v>
      </c>
      <c r="D46" s="6">
        <v>0</v>
      </c>
      <c r="E46" s="38">
        <v>145</v>
      </c>
      <c r="F46" s="1">
        <v>160</v>
      </c>
      <c r="H46" s="7">
        <v>135.13999999999999</v>
      </c>
      <c r="I46" s="7">
        <v>0</v>
      </c>
      <c r="J46" s="7">
        <v>153.81</v>
      </c>
      <c r="K46" s="7">
        <v>151.91999999999999</v>
      </c>
      <c r="M46" s="34">
        <v>1204.50118</v>
      </c>
      <c r="N46" s="34">
        <v>967.42227000000003</v>
      </c>
      <c r="O46" s="34">
        <v>991.47375</v>
      </c>
      <c r="Q46" s="34">
        <v>8831.48</v>
      </c>
      <c r="R46" s="34">
        <v>6532.82</v>
      </c>
      <c r="S46" s="34">
        <v>6766.02</v>
      </c>
      <c r="T46" s="34"/>
    </row>
    <row r="47" spans="1:20" x14ac:dyDescent="0.35">
      <c r="A47" s="28">
        <v>27</v>
      </c>
      <c r="B47" s="15" t="s">
        <v>32</v>
      </c>
      <c r="C47" s="6">
        <v>13</v>
      </c>
      <c r="D47" s="6">
        <v>0</v>
      </c>
      <c r="E47" s="38">
        <v>72</v>
      </c>
      <c r="F47" s="1">
        <v>85</v>
      </c>
      <c r="H47" s="7">
        <v>96.08</v>
      </c>
      <c r="I47" s="7">
        <v>0</v>
      </c>
      <c r="J47" s="7">
        <v>119.06</v>
      </c>
      <c r="K47" s="7">
        <v>115.23</v>
      </c>
      <c r="M47" s="34">
        <v>415.88524000000001</v>
      </c>
      <c r="N47" s="34">
        <v>699.40584000000001</v>
      </c>
      <c r="O47" s="34">
        <v>651.53872999999999</v>
      </c>
      <c r="Q47" s="34">
        <v>4443.9799999999996</v>
      </c>
      <c r="R47" s="34">
        <v>5669.21</v>
      </c>
      <c r="S47" s="34">
        <v>5462.35</v>
      </c>
      <c r="T47" s="34"/>
    </row>
    <row r="48" spans="1:20" x14ac:dyDescent="0.35">
      <c r="A48" s="28">
        <v>28</v>
      </c>
      <c r="B48" s="15" t="s">
        <v>33</v>
      </c>
      <c r="C48" s="6">
        <v>8</v>
      </c>
      <c r="D48" s="6">
        <v>1</v>
      </c>
      <c r="E48" s="38">
        <v>31</v>
      </c>
      <c r="F48" s="1">
        <v>40</v>
      </c>
      <c r="H48" s="7">
        <v>87.71</v>
      </c>
      <c r="I48" s="7">
        <v>64</v>
      </c>
      <c r="J48" s="7">
        <v>83.44</v>
      </c>
      <c r="K48" s="7">
        <v>83.74</v>
      </c>
      <c r="M48" s="34">
        <v>300.71429000000001</v>
      </c>
      <c r="N48" s="34">
        <v>376.26090999999997</v>
      </c>
      <c r="O48" s="34">
        <v>358.63337000000001</v>
      </c>
      <c r="Q48" s="34">
        <v>3660.94</v>
      </c>
      <c r="R48" s="34">
        <v>4817.7299999999996</v>
      </c>
      <c r="S48" s="34">
        <v>4547.8100000000004</v>
      </c>
      <c r="T48" s="34"/>
    </row>
    <row r="49" spans="1:20" x14ac:dyDescent="0.35">
      <c r="A49" s="28">
        <v>29</v>
      </c>
      <c r="B49" s="15" t="s">
        <v>34</v>
      </c>
      <c r="C49" s="6">
        <v>0</v>
      </c>
      <c r="D49" s="6">
        <v>0</v>
      </c>
      <c r="E49" s="38">
        <v>11</v>
      </c>
      <c r="F49" s="1">
        <v>11</v>
      </c>
      <c r="H49" s="7">
        <v>0</v>
      </c>
      <c r="I49" s="7">
        <v>0</v>
      </c>
      <c r="J49" s="7">
        <v>81.099999999999994</v>
      </c>
      <c r="K49" s="7">
        <v>81.099999999999994</v>
      </c>
      <c r="M49" s="34">
        <v>0</v>
      </c>
      <c r="N49" s="34">
        <v>307</v>
      </c>
      <c r="O49" s="34">
        <v>307</v>
      </c>
      <c r="Q49" s="34">
        <v>0</v>
      </c>
      <c r="R49" s="34">
        <v>3875.92</v>
      </c>
      <c r="S49" s="34">
        <v>3875.92</v>
      </c>
      <c r="T49" s="34"/>
    </row>
    <row r="50" spans="1:20" x14ac:dyDescent="0.35">
      <c r="A50" s="28">
        <v>30</v>
      </c>
      <c r="B50" s="15" t="s">
        <v>35</v>
      </c>
      <c r="C50" s="6">
        <v>0</v>
      </c>
      <c r="D50" s="6">
        <v>0</v>
      </c>
      <c r="E50" s="38">
        <v>14</v>
      </c>
      <c r="F50" s="1">
        <v>14</v>
      </c>
      <c r="H50" s="7">
        <v>0</v>
      </c>
      <c r="I50" s="7">
        <v>0</v>
      </c>
      <c r="J50" s="7">
        <v>89.38</v>
      </c>
      <c r="K50" s="7">
        <v>89.38</v>
      </c>
      <c r="M50" s="34">
        <v>0</v>
      </c>
      <c r="N50" s="34">
        <v>426.86153999999999</v>
      </c>
      <c r="O50" s="34">
        <v>426.86153999999999</v>
      </c>
      <c r="Q50" s="34">
        <v>0</v>
      </c>
      <c r="R50" s="34">
        <v>4740.03</v>
      </c>
      <c r="S50" s="34">
        <v>4740.03</v>
      </c>
      <c r="T50" s="34"/>
    </row>
    <row r="51" spans="1:20" x14ac:dyDescent="0.35">
      <c r="A51" s="28">
        <v>31</v>
      </c>
      <c r="B51" s="15" t="s">
        <v>36</v>
      </c>
      <c r="C51" s="6">
        <v>2</v>
      </c>
      <c r="D51" s="6">
        <v>0</v>
      </c>
      <c r="E51" s="38">
        <v>117</v>
      </c>
      <c r="F51" s="1">
        <v>119</v>
      </c>
      <c r="H51" s="7">
        <v>108</v>
      </c>
      <c r="I51" s="7">
        <v>0</v>
      </c>
      <c r="J51" s="7">
        <v>78.28</v>
      </c>
      <c r="K51" s="7">
        <v>78.540000000000006</v>
      </c>
      <c r="M51" s="59" t="s">
        <v>100</v>
      </c>
      <c r="N51" s="34">
        <v>438.25223999999997</v>
      </c>
      <c r="O51" s="34">
        <v>442.47125</v>
      </c>
      <c r="Q51" s="59" t="s">
        <v>100</v>
      </c>
      <c r="R51" s="34">
        <v>5618.12</v>
      </c>
      <c r="S51" s="34">
        <v>5643.38</v>
      </c>
      <c r="T51" s="34"/>
    </row>
    <row r="52" spans="1:20" x14ac:dyDescent="0.35">
      <c r="A52" s="28">
        <v>32</v>
      </c>
      <c r="B52" s="15" t="s">
        <v>37</v>
      </c>
      <c r="C52" s="6">
        <v>0</v>
      </c>
      <c r="D52" s="6">
        <v>0</v>
      </c>
      <c r="E52" s="38">
        <v>62</v>
      </c>
      <c r="F52" s="1">
        <v>62</v>
      </c>
      <c r="H52" s="7">
        <v>0</v>
      </c>
      <c r="I52" s="7">
        <v>0</v>
      </c>
      <c r="J52" s="7">
        <v>74.67</v>
      </c>
      <c r="K52" s="7">
        <v>74.67</v>
      </c>
      <c r="M52" s="34">
        <v>0</v>
      </c>
      <c r="N52" s="34">
        <v>411.42962</v>
      </c>
      <c r="O52" s="34">
        <v>411.42962</v>
      </c>
      <c r="Q52" s="34">
        <v>0</v>
      </c>
      <c r="R52" s="34">
        <v>5665.7</v>
      </c>
      <c r="S52" s="34">
        <v>5665.7</v>
      </c>
      <c r="T52" s="34"/>
    </row>
    <row r="53" spans="1:20" x14ac:dyDescent="0.35">
      <c r="A53" s="28">
        <v>33</v>
      </c>
      <c r="B53" s="15" t="s">
        <v>38</v>
      </c>
      <c r="C53" s="6">
        <v>0</v>
      </c>
      <c r="D53" s="6">
        <v>0</v>
      </c>
      <c r="E53" s="38">
        <v>52</v>
      </c>
      <c r="F53" s="1">
        <v>52</v>
      </c>
      <c r="H53" s="7">
        <v>0</v>
      </c>
      <c r="I53" s="7">
        <v>0</v>
      </c>
      <c r="J53" s="7">
        <v>74.569999999999993</v>
      </c>
      <c r="K53" s="7">
        <v>74.569999999999993</v>
      </c>
      <c r="M53" s="34">
        <v>0</v>
      </c>
      <c r="N53" s="34">
        <v>330.3913</v>
      </c>
      <c r="O53" s="34">
        <v>330.3913</v>
      </c>
      <c r="Q53" s="34">
        <v>0</v>
      </c>
      <c r="R53" s="34">
        <v>4529.0600000000004</v>
      </c>
      <c r="S53" s="34">
        <v>4529.0600000000004</v>
      </c>
      <c r="T53" s="34"/>
    </row>
    <row r="54" spans="1:20" x14ac:dyDescent="0.35">
      <c r="A54" s="28">
        <v>34</v>
      </c>
      <c r="B54" s="15" t="s">
        <v>39</v>
      </c>
      <c r="C54" s="6">
        <v>0</v>
      </c>
      <c r="D54" s="6">
        <v>0</v>
      </c>
      <c r="E54" s="38">
        <v>16</v>
      </c>
      <c r="F54" s="1">
        <v>16</v>
      </c>
      <c r="H54" s="7">
        <v>0</v>
      </c>
      <c r="I54" s="7">
        <v>0</v>
      </c>
      <c r="J54" s="7">
        <v>73.849999999999994</v>
      </c>
      <c r="K54" s="7">
        <v>73.849999999999994</v>
      </c>
      <c r="M54" s="34">
        <v>0</v>
      </c>
      <c r="N54" s="34">
        <v>305.23077000000001</v>
      </c>
      <c r="O54" s="34">
        <v>305.23077000000001</v>
      </c>
      <c r="Q54" s="34">
        <v>0</v>
      </c>
      <c r="R54" s="34">
        <v>4208.63</v>
      </c>
      <c r="S54" s="34">
        <v>4208.63</v>
      </c>
      <c r="T54" s="34"/>
    </row>
    <row r="55" spans="1:20" x14ac:dyDescent="0.35">
      <c r="A55" s="28">
        <v>35</v>
      </c>
      <c r="B55" s="15" t="s">
        <v>40</v>
      </c>
      <c r="C55" s="6">
        <v>3</v>
      </c>
      <c r="D55" s="6">
        <v>0</v>
      </c>
      <c r="E55" s="38">
        <v>71</v>
      </c>
      <c r="F55" s="1">
        <v>74</v>
      </c>
      <c r="H55" s="7">
        <v>77</v>
      </c>
      <c r="I55" s="7">
        <v>0</v>
      </c>
      <c r="J55" s="7">
        <v>67.599999999999994</v>
      </c>
      <c r="K55" s="7">
        <v>68</v>
      </c>
      <c r="M55" s="34">
        <v>408.33332999999999</v>
      </c>
      <c r="N55" s="34">
        <v>299.79091999999997</v>
      </c>
      <c r="O55" s="34">
        <v>304.51015999999998</v>
      </c>
      <c r="Q55" s="34">
        <v>5303.03</v>
      </c>
      <c r="R55" s="34">
        <v>4397.5600000000004</v>
      </c>
      <c r="S55" s="34">
        <v>4436.93</v>
      </c>
      <c r="T55" s="34"/>
    </row>
    <row r="56" spans="1:20" x14ac:dyDescent="0.35">
      <c r="A56" s="28">
        <v>36</v>
      </c>
      <c r="B56" s="15" t="s">
        <v>41</v>
      </c>
      <c r="C56" s="6">
        <v>3</v>
      </c>
      <c r="D56" s="6">
        <v>0</v>
      </c>
      <c r="E56" s="38">
        <v>20</v>
      </c>
      <c r="F56" s="1">
        <v>23</v>
      </c>
      <c r="H56" s="7">
        <v>59.5</v>
      </c>
      <c r="I56" s="7">
        <v>0</v>
      </c>
      <c r="J56" s="7">
        <v>81.63</v>
      </c>
      <c r="K56" s="7">
        <v>79.52</v>
      </c>
      <c r="M56" s="34">
        <v>317.5</v>
      </c>
      <c r="N56" s="34">
        <v>467.02082999999999</v>
      </c>
      <c r="O56" s="34">
        <v>452.06875000000002</v>
      </c>
      <c r="Q56" s="34">
        <v>5440.22</v>
      </c>
      <c r="R56" s="34">
        <v>5554.26</v>
      </c>
      <c r="S56" s="34">
        <v>5542.86</v>
      </c>
      <c r="T56" s="34"/>
    </row>
    <row r="57" spans="1:20" x14ac:dyDescent="0.35">
      <c r="A57" s="28">
        <v>37</v>
      </c>
      <c r="B57" s="15" t="s">
        <v>42</v>
      </c>
      <c r="C57" s="6">
        <v>13</v>
      </c>
      <c r="D57" s="6">
        <v>0</v>
      </c>
      <c r="E57" s="38">
        <v>58</v>
      </c>
      <c r="F57" s="1">
        <v>71</v>
      </c>
      <c r="H57" s="7">
        <v>62.31</v>
      </c>
      <c r="I57" s="7">
        <v>0</v>
      </c>
      <c r="J57" s="7">
        <v>60.91</v>
      </c>
      <c r="K57" s="7">
        <v>61.17</v>
      </c>
      <c r="M57" s="34">
        <v>211.84614999999999</v>
      </c>
      <c r="N57" s="34">
        <v>193.06567999999999</v>
      </c>
      <c r="O57" s="34">
        <v>196.82176999999999</v>
      </c>
      <c r="Q57" s="34">
        <v>3379.57</v>
      </c>
      <c r="R57" s="34">
        <v>3322.48</v>
      </c>
      <c r="S57" s="34">
        <v>3333.9</v>
      </c>
      <c r="T57" s="34"/>
    </row>
    <row r="58" spans="1:20" x14ac:dyDescent="0.35">
      <c r="A58" s="28">
        <v>38</v>
      </c>
      <c r="B58" s="15" t="s">
        <v>43</v>
      </c>
      <c r="C58" s="6">
        <v>6</v>
      </c>
      <c r="D58" s="6">
        <v>0</v>
      </c>
      <c r="E58" s="38">
        <v>26</v>
      </c>
      <c r="F58" s="1">
        <v>32</v>
      </c>
      <c r="H58" s="7">
        <v>58.8</v>
      </c>
      <c r="I58" s="7">
        <v>0</v>
      </c>
      <c r="J58" s="7">
        <v>58.04</v>
      </c>
      <c r="K58" s="7">
        <v>58.17</v>
      </c>
      <c r="M58" s="34">
        <v>182.6</v>
      </c>
      <c r="N58" s="34">
        <v>205.02524</v>
      </c>
      <c r="O58" s="34">
        <v>201.02073000000001</v>
      </c>
      <c r="Q58" s="34">
        <v>3344.75</v>
      </c>
      <c r="R58" s="34">
        <v>3699.51</v>
      </c>
      <c r="S58" s="34">
        <v>3636.16</v>
      </c>
      <c r="T58" s="34"/>
    </row>
    <row r="59" spans="1:20" x14ac:dyDescent="0.35">
      <c r="A59" s="28">
        <v>39</v>
      </c>
      <c r="B59" s="15" t="s">
        <v>44</v>
      </c>
      <c r="C59" s="6">
        <v>5</v>
      </c>
      <c r="D59" s="6">
        <v>0</v>
      </c>
      <c r="E59" s="38">
        <v>14</v>
      </c>
      <c r="F59" s="1">
        <v>19</v>
      </c>
      <c r="H59" s="7">
        <v>59</v>
      </c>
      <c r="I59" s="7">
        <v>0</v>
      </c>
      <c r="J59" s="7">
        <v>81</v>
      </c>
      <c r="K59" s="7">
        <v>75.209999999999994</v>
      </c>
      <c r="M59" s="34">
        <v>136.9</v>
      </c>
      <c r="N59" s="34">
        <v>243.03101999999998</v>
      </c>
      <c r="O59" s="34">
        <v>215.1018</v>
      </c>
      <c r="Q59" s="34">
        <v>2350.33</v>
      </c>
      <c r="R59" s="34">
        <v>3072.36</v>
      </c>
      <c r="S59" s="34">
        <v>2882.35</v>
      </c>
      <c r="T59" s="34"/>
    </row>
    <row r="60" spans="1:20" x14ac:dyDescent="0.35">
      <c r="A60" s="28">
        <v>40</v>
      </c>
      <c r="B60" s="15" t="s">
        <v>45</v>
      </c>
      <c r="C60" s="6">
        <v>0</v>
      </c>
      <c r="D60" s="6">
        <v>0</v>
      </c>
      <c r="E60" s="38">
        <v>4</v>
      </c>
      <c r="F60" s="1">
        <v>4</v>
      </c>
      <c r="H60" s="7">
        <v>0</v>
      </c>
      <c r="I60" s="7">
        <v>0</v>
      </c>
      <c r="J60" s="7">
        <v>59.75</v>
      </c>
      <c r="K60" s="7">
        <v>59.75</v>
      </c>
      <c r="M60" s="34">
        <v>0</v>
      </c>
      <c r="N60" s="34">
        <v>204.5</v>
      </c>
      <c r="O60" s="34">
        <v>204.5</v>
      </c>
      <c r="Q60" s="34">
        <v>0</v>
      </c>
      <c r="R60" s="34">
        <v>4078.95</v>
      </c>
      <c r="S60" s="34">
        <v>4078.95</v>
      </c>
      <c r="T60" s="34"/>
    </row>
    <row r="61" spans="1:20" x14ac:dyDescent="0.35">
      <c r="A61" s="28">
        <v>41</v>
      </c>
      <c r="B61" s="15" t="s">
        <v>46</v>
      </c>
      <c r="C61" s="6">
        <v>1</v>
      </c>
      <c r="D61" s="6">
        <v>0</v>
      </c>
      <c r="E61" s="38">
        <v>5</v>
      </c>
      <c r="F61" s="1">
        <v>6</v>
      </c>
      <c r="H61" s="7">
        <v>49</v>
      </c>
      <c r="I61" s="7">
        <v>0</v>
      </c>
      <c r="J61" s="7">
        <v>52.6</v>
      </c>
      <c r="K61" s="7">
        <v>52</v>
      </c>
      <c r="M61" s="59" t="s">
        <v>100</v>
      </c>
      <c r="N61" s="34">
        <v>279</v>
      </c>
      <c r="O61" s="34">
        <v>279.16667000000001</v>
      </c>
      <c r="Q61" s="59" t="s">
        <v>100</v>
      </c>
      <c r="R61" s="34">
        <v>5326.53</v>
      </c>
      <c r="S61" s="34">
        <v>5391.16</v>
      </c>
      <c r="T61" s="34"/>
    </row>
    <row r="62" spans="1:20" x14ac:dyDescent="0.35">
      <c r="A62" s="28">
        <v>42</v>
      </c>
      <c r="B62" s="15" t="s">
        <v>47</v>
      </c>
      <c r="C62" s="6">
        <v>1</v>
      </c>
      <c r="D62" s="6">
        <v>0</v>
      </c>
      <c r="E62" s="38">
        <v>0</v>
      </c>
      <c r="F62" s="1">
        <v>1</v>
      </c>
      <c r="H62" s="7">
        <v>0</v>
      </c>
      <c r="I62" s="7">
        <v>0</v>
      </c>
      <c r="J62" s="7">
        <v>0</v>
      </c>
      <c r="K62" s="7">
        <v>0</v>
      </c>
      <c r="M62" s="34">
        <v>0</v>
      </c>
      <c r="N62" s="34">
        <v>0</v>
      </c>
      <c r="O62" s="34">
        <v>0</v>
      </c>
      <c r="Q62" s="34">
        <v>0</v>
      </c>
      <c r="R62" s="34">
        <v>0</v>
      </c>
      <c r="S62" s="34">
        <v>0</v>
      </c>
      <c r="T62" s="34"/>
    </row>
    <row r="63" spans="1:20" x14ac:dyDescent="0.35">
      <c r="A63" s="28">
        <v>43</v>
      </c>
      <c r="B63" s="15" t="s">
        <v>48</v>
      </c>
      <c r="C63" s="6">
        <v>33</v>
      </c>
      <c r="D63" s="6">
        <v>1</v>
      </c>
      <c r="E63" s="38">
        <v>40</v>
      </c>
      <c r="F63" s="1">
        <v>74</v>
      </c>
      <c r="H63" s="7">
        <v>74.739999999999995</v>
      </c>
      <c r="I63" s="7">
        <v>51</v>
      </c>
      <c r="J63" s="7">
        <v>66.28</v>
      </c>
      <c r="K63" s="7">
        <v>69.91</v>
      </c>
      <c r="M63" s="34">
        <v>226.67903000000001</v>
      </c>
      <c r="N63" s="34">
        <v>266.59333000000004</v>
      </c>
      <c r="O63" s="34">
        <v>246.30901</v>
      </c>
      <c r="Q63" s="34">
        <v>2882.56</v>
      </c>
      <c r="R63" s="34">
        <v>3903.67</v>
      </c>
      <c r="S63" s="34">
        <v>3384.75</v>
      </c>
      <c r="T63" s="34"/>
    </row>
    <row r="64" spans="1:20" x14ac:dyDescent="0.35">
      <c r="A64" s="28">
        <v>44</v>
      </c>
      <c r="B64" s="15" t="s">
        <v>49</v>
      </c>
      <c r="C64" s="6">
        <v>6</v>
      </c>
      <c r="D64" s="6">
        <v>0</v>
      </c>
      <c r="E64" s="38">
        <v>31</v>
      </c>
      <c r="F64" s="1">
        <v>37</v>
      </c>
      <c r="H64" s="7">
        <v>71.5</v>
      </c>
      <c r="I64" s="7">
        <v>0</v>
      </c>
      <c r="J64" s="7">
        <v>71.03</v>
      </c>
      <c r="K64" s="7">
        <v>71.11</v>
      </c>
      <c r="M64" s="34">
        <v>297.99983000000003</v>
      </c>
      <c r="N64" s="34">
        <v>273.96552000000003</v>
      </c>
      <c r="O64" s="34">
        <v>278.08569</v>
      </c>
      <c r="Q64" s="34">
        <v>4189.2700000000004</v>
      </c>
      <c r="R64" s="34">
        <v>3873.95</v>
      </c>
      <c r="S64" s="34">
        <v>3928</v>
      </c>
      <c r="T64" s="34"/>
    </row>
    <row r="65" spans="1:20" x14ac:dyDescent="0.35">
      <c r="A65" s="28">
        <v>45</v>
      </c>
      <c r="B65" s="15" t="s">
        <v>50</v>
      </c>
      <c r="C65" s="6">
        <v>0</v>
      </c>
      <c r="D65" s="6">
        <v>0</v>
      </c>
      <c r="E65" s="38">
        <v>42</v>
      </c>
      <c r="F65" s="1">
        <v>42</v>
      </c>
      <c r="H65" s="7">
        <v>0</v>
      </c>
      <c r="I65" s="7">
        <v>0</v>
      </c>
      <c r="J65" s="7">
        <v>65.37</v>
      </c>
      <c r="K65" s="7">
        <v>65.37</v>
      </c>
      <c r="M65" s="34">
        <v>0</v>
      </c>
      <c r="N65" s="34">
        <v>214.85484</v>
      </c>
      <c r="O65" s="34">
        <v>214.85484</v>
      </c>
      <c r="Q65" s="34">
        <v>0</v>
      </c>
      <c r="R65" s="34">
        <v>3201.02</v>
      </c>
      <c r="S65" s="34">
        <v>3201.02</v>
      </c>
      <c r="T65" s="34"/>
    </row>
    <row r="66" spans="1:20" x14ac:dyDescent="0.35">
      <c r="A66" s="28">
        <v>46</v>
      </c>
      <c r="B66" s="15" t="s">
        <v>51</v>
      </c>
      <c r="C66" s="6">
        <v>0</v>
      </c>
      <c r="D66" s="6">
        <v>0</v>
      </c>
      <c r="E66" s="38">
        <v>38</v>
      </c>
      <c r="F66" s="1">
        <v>38</v>
      </c>
      <c r="H66" s="7">
        <v>0</v>
      </c>
      <c r="I66" s="7">
        <v>0</v>
      </c>
      <c r="J66" s="7">
        <v>62.12</v>
      </c>
      <c r="K66" s="7">
        <v>62.12</v>
      </c>
      <c r="M66" s="34">
        <v>0</v>
      </c>
      <c r="N66" s="34">
        <v>202.22548999999998</v>
      </c>
      <c r="O66" s="34">
        <v>202.22548999999998</v>
      </c>
      <c r="Q66" s="34">
        <v>0</v>
      </c>
      <c r="R66" s="34">
        <v>3098.92</v>
      </c>
      <c r="S66" s="34">
        <v>3098.92</v>
      </c>
      <c r="T66" s="34"/>
    </row>
    <row r="67" spans="1:20" x14ac:dyDescent="0.35">
      <c r="A67" s="28">
        <v>47</v>
      </c>
      <c r="B67" s="15" t="s">
        <v>52</v>
      </c>
      <c r="E67" s="38"/>
      <c r="F67" s="1"/>
      <c r="M67" s="34">
        <v>0</v>
      </c>
      <c r="N67" s="34">
        <v>0</v>
      </c>
      <c r="O67" s="34">
        <v>0</v>
      </c>
      <c r="T67" s="34"/>
    </row>
    <row r="68" spans="1:20" x14ac:dyDescent="0.35">
      <c r="A68" s="28">
        <v>48</v>
      </c>
      <c r="B68" s="15" t="s">
        <v>53</v>
      </c>
      <c r="C68" s="6">
        <v>0</v>
      </c>
      <c r="D68" s="6">
        <v>0</v>
      </c>
      <c r="E68" s="38">
        <v>27</v>
      </c>
      <c r="F68" s="1">
        <v>27</v>
      </c>
      <c r="H68" s="7">
        <v>0</v>
      </c>
      <c r="I68" s="7">
        <v>0</v>
      </c>
      <c r="J68" s="7">
        <v>75.739999999999995</v>
      </c>
      <c r="K68" s="7">
        <v>75.739999999999995</v>
      </c>
      <c r="M68" s="34">
        <v>0</v>
      </c>
      <c r="N68" s="34">
        <v>230.05882</v>
      </c>
      <c r="O68" s="34">
        <v>230.05882</v>
      </c>
      <c r="Q68" s="34">
        <v>0</v>
      </c>
      <c r="R68" s="34">
        <v>3290.07</v>
      </c>
      <c r="S68" s="34">
        <v>3290.07</v>
      </c>
      <c r="T68" s="34"/>
    </row>
    <row r="69" spans="1:20" x14ac:dyDescent="0.35">
      <c r="A69" s="28">
        <v>49</v>
      </c>
      <c r="B69" s="15" t="s">
        <v>54</v>
      </c>
      <c r="C69" s="6">
        <v>0</v>
      </c>
      <c r="D69" s="6">
        <v>0</v>
      </c>
      <c r="E69" s="38">
        <v>14</v>
      </c>
      <c r="F69" s="1">
        <v>14</v>
      </c>
      <c r="H69" s="7">
        <v>0</v>
      </c>
      <c r="I69" s="7">
        <v>0</v>
      </c>
      <c r="J69" s="7">
        <v>70</v>
      </c>
      <c r="K69" s="7">
        <v>70</v>
      </c>
      <c r="M69" s="34">
        <v>0</v>
      </c>
      <c r="N69" s="34">
        <v>219.21429000000001</v>
      </c>
      <c r="O69" s="34">
        <v>219.21429000000001</v>
      </c>
      <c r="Q69" s="34">
        <v>0</v>
      </c>
      <c r="R69" s="34">
        <v>3266.99</v>
      </c>
      <c r="S69" s="34">
        <v>3266.99</v>
      </c>
      <c r="T69" s="34"/>
    </row>
    <row r="70" spans="1:20" x14ac:dyDescent="0.35">
      <c r="A70" s="28">
        <v>50</v>
      </c>
      <c r="B70" s="15" t="s">
        <v>55</v>
      </c>
      <c r="C70" s="6">
        <v>0</v>
      </c>
      <c r="D70" s="6">
        <v>0</v>
      </c>
      <c r="E70" s="38">
        <v>56</v>
      </c>
      <c r="F70" s="1">
        <v>56</v>
      </c>
      <c r="H70" s="7">
        <v>0</v>
      </c>
      <c r="I70" s="7">
        <v>0</v>
      </c>
      <c r="J70" s="7">
        <v>58.37</v>
      </c>
      <c r="K70" s="7">
        <v>58.37</v>
      </c>
      <c r="M70" s="34">
        <v>0</v>
      </c>
      <c r="N70" s="34">
        <v>162.09370999999999</v>
      </c>
      <c r="O70" s="34">
        <v>162.09370999999999</v>
      </c>
      <c r="Q70" s="34">
        <v>0</v>
      </c>
      <c r="R70" s="34">
        <v>2823.17</v>
      </c>
      <c r="S70" s="34">
        <v>2823.17</v>
      </c>
      <c r="T70" s="34"/>
    </row>
    <row r="71" spans="1:20" x14ac:dyDescent="0.35">
      <c r="A71" s="28">
        <v>51</v>
      </c>
      <c r="B71" s="15" t="s">
        <v>56</v>
      </c>
      <c r="C71" s="6">
        <v>1</v>
      </c>
      <c r="D71" s="6">
        <v>0</v>
      </c>
      <c r="E71" s="38">
        <v>44</v>
      </c>
      <c r="F71" s="1">
        <v>45</v>
      </c>
      <c r="H71" s="7">
        <v>68</v>
      </c>
      <c r="I71" s="7">
        <v>0</v>
      </c>
      <c r="J71" s="7">
        <v>58.51</v>
      </c>
      <c r="K71" s="7">
        <v>58.76</v>
      </c>
      <c r="M71" s="59" t="s">
        <v>100</v>
      </c>
      <c r="N71" s="34">
        <v>172.31817999999998</v>
      </c>
      <c r="O71" s="34">
        <v>171.78260999999998</v>
      </c>
      <c r="Q71" s="59" t="s">
        <v>100</v>
      </c>
      <c r="R71" s="34">
        <v>2929.86</v>
      </c>
      <c r="S71" s="34">
        <v>2904.78</v>
      </c>
      <c r="T71" s="34"/>
    </row>
    <row r="72" spans="1:20" x14ac:dyDescent="0.35">
      <c r="A72" s="28">
        <v>52</v>
      </c>
      <c r="B72" s="15" t="s">
        <v>57</v>
      </c>
      <c r="C72" s="6">
        <v>0</v>
      </c>
      <c r="D72" s="6">
        <v>0</v>
      </c>
      <c r="E72" s="38">
        <v>43</v>
      </c>
      <c r="F72" s="1">
        <v>43</v>
      </c>
      <c r="H72" s="7">
        <v>0</v>
      </c>
      <c r="I72" s="7">
        <v>0</v>
      </c>
      <c r="J72" s="7">
        <v>60.08</v>
      </c>
      <c r="K72" s="7">
        <v>60.08</v>
      </c>
      <c r="M72" s="34">
        <v>0</v>
      </c>
      <c r="N72" s="34">
        <v>185.13741000000002</v>
      </c>
      <c r="O72" s="34">
        <v>185.13741000000002</v>
      </c>
      <c r="Q72" s="34">
        <v>0</v>
      </c>
      <c r="R72" s="34">
        <v>3156.79</v>
      </c>
      <c r="S72" s="34">
        <v>3156.79</v>
      </c>
      <c r="T72" s="34"/>
    </row>
    <row r="73" spans="1:20" x14ac:dyDescent="0.35">
      <c r="A73" s="28">
        <v>53</v>
      </c>
      <c r="B73" s="15" t="s">
        <v>58</v>
      </c>
      <c r="C73" s="6">
        <v>0</v>
      </c>
      <c r="D73" s="6">
        <v>0</v>
      </c>
      <c r="E73" s="38">
        <v>32</v>
      </c>
      <c r="F73" s="1">
        <v>32</v>
      </c>
      <c r="H73" s="7">
        <v>0</v>
      </c>
      <c r="I73" s="7">
        <v>0</v>
      </c>
      <c r="J73" s="7">
        <v>60.26</v>
      </c>
      <c r="K73" s="7">
        <v>60.26</v>
      </c>
      <c r="M73" s="34">
        <v>0</v>
      </c>
      <c r="N73" s="34">
        <v>157.32368</v>
      </c>
      <c r="O73" s="34">
        <v>157.32368</v>
      </c>
      <c r="Q73" s="34">
        <v>0</v>
      </c>
      <c r="R73" s="34">
        <v>2720.73</v>
      </c>
      <c r="S73" s="34">
        <v>2720.73</v>
      </c>
      <c r="T73" s="34"/>
    </row>
    <row r="74" spans="1:20" x14ac:dyDescent="0.35">
      <c r="A74" s="28">
        <v>54</v>
      </c>
      <c r="B74" s="15" t="s">
        <v>59</v>
      </c>
      <c r="C74" s="6">
        <v>0</v>
      </c>
      <c r="D74" s="6">
        <v>0</v>
      </c>
      <c r="E74" s="38">
        <v>6</v>
      </c>
      <c r="F74" s="1">
        <v>6</v>
      </c>
      <c r="H74" s="7">
        <v>0</v>
      </c>
      <c r="I74" s="7">
        <v>0</v>
      </c>
      <c r="J74" s="7">
        <v>153</v>
      </c>
      <c r="K74" s="7">
        <v>153</v>
      </c>
      <c r="M74" s="34">
        <v>0</v>
      </c>
      <c r="N74" s="34">
        <v>181.25</v>
      </c>
      <c r="O74" s="34">
        <v>181.25</v>
      </c>
      <c r="Q74" s="34">
        <v>0</v>
      </c>
      <c r="R74" s="34">
        <v>1147.75</v>
      </c>
      <c r="S74" s="34">
        <v>1147.75</v>
      </c>
      <c r="T74" s="34"/>
    </row>
    <row r="75" spans="1:20" x14ac:dyDescent="0.35">
      <c r="A75" s="28">
        <v>55</v>
      </c>
      <c r="B75" s="15" t="s">
        <v>60</v>
      </c>
      <c r="C75" s="6">
        <v>1</v>
      </c>
      <c r="D75" s="6">
        <v>0</v>
      </c>
      <c r="E75" s="38">
        <v>62</v>
      </c>
      <c r="F75" s="1">
        <v>63</v>
      </c>
      <c r="H75" s="7">
        <v>53</v>
      </c>
      <c r="I75" s="7">
        <v>0</v>
      </c>
      <c r="J75" s="7">
        <v>57.59</v>
      </c>
      <c r="K75" s="7">
        <v>57.46</v>
      </c>
      <c r="M75" s="59" t="s">
        <v>100</v>
      </c>
      <c r="N75" s="34">
        <v>124.89935000000001</v>
      </c>
      <c r="O75" s="34">
        <v>123.44521</v>
      </c>
      <c r="Q75" s="59" t="s">
        <v>100</v>
      </c>
      <c r="R75" s="34">
        <v>2107</v>
      </c>
      <c r="S75" s="34">
        <v>2089.96</v>
      </c>
      <c r="T75" s="34"/>
    </row>
    <row r="76" spans="1:20" x14ac:dyDescent="0.35">
      <c r="A76" s="28">
        <v>56</v>
      </c>
      <c r="B76" s="15" t="s">
        <v>78</v>
      </c>
      <c r="C76" s="6">
        <v>0</v>
      </c>
      <c r="D76" s="6">
        <v>0</v>
      </c>
      <c r="E76" s="38">
        <v>4</v>
      </c>
      <c r="F76" s="1">
        <v>4</v>
      </c>
      <c r="H76" s="7">
        <v>0</v>
      </c>
      <c r="I76" s="7">
        <v>0</v>
      </c>
      <c r="J76" s="7">
        <v>79.5</v>
      </c>
      <c r="K76" s="7">
        <v>79.5</v>
      </c>
      <c r="M76" s="34">
        <v>0</v>
      </c>
      <c r="N76" s="34">
        <v>215</v>
      </c>
      <c r="O76" s="34">
        <v>215</v>
      </c>
      <c r="Q76" s="34">
        <v>0</v>
      </c>
      <c r="R76" s="34">
        <v>2656.49</v>
      </c>
      <c r="S76" s="34">
        <v>2656.49</v>
      </c>
      <c r="T76" s="34"/>
    </row>
    <row r="77" spans="1:20" x14ac:dyDescent="0.35">
      <c r="A77" s="28">
        <v>57</v>
      </c>
      <c r="B77" s="15" t="s">
        <v>61</v>
      </c>
      <c r="C77" s="6">
        <v>2</v>
      </c>
      <c r="D77" s="6">
        <v>0</v>
      </c>
      <c r="E77" s="38">
        <v>37</v>
      </c>
      <c r="F77" s="1">
        <v>39</v>
      </c>
      <c r="H77" s="7">
        <v>190</v>
      </c>
      <c r="I77" s="7">
        <v>0</v>
      </c>
      <c r="J77" s="7">
        <v>60.29</v>
      </c>
      <c r="K77" s="7">
        <v>67.3</v>
      </c>
      <c r="M77" s="59" t="s">
        <v>100</v>
      </c>
      <c r="N77" s="34">
        <v>140.18976000000001</v>
      </c>
      <c r="O77" s="34">
        <v>159.51043999999999</v>
      </c>
      <c r="Q77" s="59" t="s">
        <v>100</v>
      </c>
      <c r="R77" s="34">
        <v>2341.52</v>
      </c>
      <c r="S77" s="34">
        <v>2362.83</v>
      </c>
      <c r="T77" s="34"/>
    </row>
    <row r="78" spans="1:20" x14ac:dyDescent="0.35">
      <c r="A78" s="28">
        <v>58</v>
      </c>
      <c r="B78" s="15" t="s">
        <v>62</v>
      </c>
      <c r="C78" s="6">
        <v>0</v>
      </c>
      <c r="D78" s="6">
        <v>0</v>
      </c>
      <c r="E78" s="38">
        <v>7</v>
      </c>
      <c r="F78" s="1">
        <v>7</v>
      </c>
      <c r="H78" s="7">
        <v>0</v>
      </c>
      <c r="I78" s="7">
        <v>0</v>
      </c>
      <c r="J78" s="7">
        <v>74.33</v>
      </c>
      <c r="K78" s="7">
        <v>74.33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  <c r="T78" s="34"/>
    </row>
    <row r="79" spans="1:20" x14ac:dyDescent="0.35">
      <c r="A79" s="28">
        <v>59</v>
      </c>
      <c r="B79" s="15" t="s">
        <v>63</v>
      </c>
      <c r="C79" s="6">
        <v>4</v>
      </c>
      <c r="D79" s="6">
        <v>0</v>
      </c>
      <c r="E79" s="38">
        <v>35</v>
      </c>
      <c r="F79" s="1">
        <v>39</v>
      </c>
      <c r="H79" s="7">
        <v>81.33</v>
      </c>
      <c r="I79" s="7">
        <v>0</v>
      </c>
      <c r="J79" s="7">
        <v>64</v>
      </c>
      <c r="K79" s="7">
        <v>65.37</v>
      </c>
      <c r="M79" s="34">
        <v>159.80000000000001</v>
      </c>
      <c r="N79" s="34">
        <v>177.58163000000002</v>
      </c>
      <c r="O79" s="34">
        <v>175.96511999999998</v>
      </c>
      <c r="Q79" s="34">
        <v>2033.61</v>
      </c>
      <c r="R79" s="34">
        <v>2723.38</v>
      </c>
      <c r="S79" s="34">
        <v>2660.67</v>
      </c>
      <c r="T79" s="34"/>
    </row>
    <row r="80" spans="1:20" x14ac:dyDescent="0.35">
      <c r="A80" s="28">
        <v>60</v>
      </c>
      <c r="B80" s="15" t="s">
        <v>64</v>
      </c>
      <c r="C80" s="6">
        <v>12</v>
      </c>
      <c r="D80" s="6">
        <v>1</v>
      </c>
      <c r="E80" s="38">
        <v>98</v>
      </c>
      <c r="F80" s="1">
        <v>111</v>
      </c>
      <c r="H80" s="7">
        <v>76.64</v>
      </c>
      <c r="I80" s="7">
        <v>47</v>
      </c>
      <c r="J80" s="7">
        <v>73.92</v>
      </c>
      <c r="K80" s="7">
        <v>73.95</v>
      </c>
      <c r="M80" s="34">
        <v>362.5</v>
      </c>
      <c r="N80" s="34">
        <v>315.46120999999999</v>
      </c>
      <c r="O80" s="34">
        <v>320.90780999999998</v>
      </c>
      <c r="Q80" s="34">
        <v>5189.75</v>
      </c>
      <c r="R80" s="34">
        <v>4275.67</v>
      </c>
      <c r="S80" s="34">
        <v>4381.51</v>
      </c>
      <c r="T80" s="34"/>
    </row>
    <row r="81" spans="1:20" x14ac:dyDescent="0.35">
      <c r="A81" s="28">
        <v>61</v>
      </c>
      <c r="B81" s="15" t="s">
        <v>65</v>
      </c>
      <c r="C81" s="6">
        <v>0</v>
      </c>
      <c r="D81" s="6">
        <v>0</v>
      </c>
      <c r="E81" s="38">
        <v>33</v>
      </c>
      <c r="F81" s="1">
        <v>33</v>
      </c>
      <c r="H81" s="7">
        <v>0</v>
      </c>
      <c r="I81" s="7">
        <v>0</v>
      </c>
      <c r="J81" s="7">
        <v>74.069999999999993</v>
      </c>
      <c r="K81" s="7">
        <v>74.069999999999993</v>
      </c>
      <c r="M81" s="34">
        <v>0</v>
      </c>
      <c r="N81" s="34">
        <v>283.02228000000002</v>
      </c>
      <c r="O81" s="34">
        <v>283.02228000000002</v>
      </c>
      <c r="Q81" s="34">
        <v>0</v>
      </c>
      <c r="R81" s="34">
        <v>4020.96</v>
      </c>
      <c r="S81" s="34">
        <v>4020.96</v>
      </c>
      <c r="T81" s="34"/>
    </row>
    <row r="82" spans="1:20" x14ac:dyDescent="0.35">
      <c r="A82" s="28">
        <v>62</v>
      </c>
      <c r="B82" s="18" t="s">
        <v>66</v>
      </c>
      <c r="C82" s="6">
        <v>2</v>
      </c>
      <c r="D82" s="6">
        <v>0</v>
      </c>
      <c r="E82" s="38">
        <v>23</v>
      </c>
      <c r="F82" s="1">
        <v>25</v>
      </c>
      <c r="H82" s="7">
        <v>94</v>
      </c>
      <c r="I82" s="7">
        <v>0</v>
      </c>
      <c r="J82" s="7">
        <v>69.55</v>
      </c>
      <c r="K82" s="7">
        <v>71.59</v>
      </c>
      <c r="M82" s="59" t="s">
        <v>100</v>
      </c>
      <c r="N82" s="34">
        <v>279.45</v>
      </c>
      <c r="O82" s="34">
        <v>293.81817999999998</v>
      </c>
      <c r="Q82" s="59" t="s">
        <v>100</v>
      </c>
      <c r="R82" s="34">
        <v>4137.13</v>
      </c>
      <c r="S82" s="34">
        <v>4188.8100000000004</v>
      </c>
      <c r="T82" s="34"/>
    </row>
    <row r="83" spans="1:20" x14ac:dyDescent="0.35">
      <c r="A83" s="28">
        <v>63</v>
      </c>
      <c r="B83" s="16" t="s">
        <v>67</v>
      </c>
      <c r="C83" s="6">
        <v>1</v>
      </c>
      <c r="D83" s="6">
        <v>0</v>
      </c>
      <c r="E83" s="38">
        <v>30</v>
      </c>
      <c r="F83" s="1">
        <v>31</v>
      </c>
      <c r="H83" s="7">
        <v>0</v>
      </c>
      <c r="I83" s="7">
        <v>0</v>
      </c>
      <c r="J83" s="7">
        <v>76</v>
      </c>
      <c r="K83" s="7">
        <v>76</v>
      </c>
      <c r="M83" s="34">
        <v>0</v>
      </c>
      <c r="N83" s="34">
        <v>324.59047999999996</v>
      </c>
      <c r="O83" s="34">
        <v>324.59047999999996</v>
      </c>
      <c r="Q83" s="34">
        <v>0</v>
      </c>
      <c r="R83" s="34">
        <v>4568.6499999999996</v>
      </c>
      <c r="S83" s="34">
        <v>4568.6499999999996</v>
      </c>
      <c r="T83" s="34"/>
    </row>
    <row r="84" spans="1:20" x14ac:dyDescent="0.35">
      <c r="A84" s="28">
        <v>64</v>
      </c>
      <c r="B84" s="16" t="s">
        <v>68</v>
      </c>
      <c r="C84" s="6">
        <v>0</v>
      </c>
      <c r="D84" s="6">
        <v>0</v>
      </c>
      <c r="E84" s="38">
        <v>60</v>
      </c>
      <c r="F84" s="1">
        <v>60</v>
      </c>
      <c r="H84" s="7">
        <v>0</v>
      </c>
      <c r="I84" s="7">
        <v>0</v>
      </c>
      <c r="J84" s="7">
        <v>72.95</v>
      </c>
      <c r="K84" s="7">
        <v>72.95</v>
      </c>
      <c r="M84" s="34">
        <v>0</v>
      </c>
      <c r="N84" s="34">
        <v>337.87963000000002</v>
      </c>
      <c r="O84" s="34">
        <v>337.87963000000002</v>
      </c>
      <c r="Q84" s="34">
        <v>0</v>
      </c>
      <c r="R84" s="34">
        <v>4914.87</v>
      </c>
      <c r="S84" s="34">
        <v>4914.87</v>
      </c>
      <c r="T84" s="34"/>
    </row>
    <row r="85" spans="1:20" x14ac:dyDescent="0.35">
      <c r="A85" s="28">
        <v>65</v>
      </c>
      <c r="B85" s="16" t="s">
        <v>69</v>
      </c>
      <c r="C85" s="6">
        <v>1</v>
      </c>
      <c r="D85" s="6">
        <v>0</v>
      </c>
      <c r="E85" s="38">
        <v>49</v>
      </c>
      <c r="F85" s="1">
        <v>50</v>
      </c>
      <c r="H85" s="7">
        <v>0</v>
      </c>
      <c r="I85" s="7">
        <v>0</v>
      </c>
      <c r="J85" s="7">
        <v>81.47</v>
      </c>
      <c r="K85" s="7">
        <v>81.47</v>
      </c>
      <c r="M85" s="34">
        <v>0</v>
      </c>
      <c r="N85" s="34">
        <v>361.79034999999999</v>
      </c>
      <c r="O85" s="34">
        <v>361.79034999999999</v>
      </c>
      <c r="Q85" s="34">
        <v>0</v>
      </c>
      <c r="R85" s="34">
        <v>4319.04</v>
      </c>
      <c r="S85" s="34">
        <v>4319.04</v>
      </c>
      <c r="T85" s="34"/>
    </row>
    <row r="86" spans="1:20" x14ac:dyDescent="0.35">
      <c r="A86" s="28">
        <v>66</v>
      </c>
      <c r="B86" s="16" t="s">
        <v>70</v>
      </c>
      <c r="C86" s="6">
        <v>0</v>
      </c>
      <c r="D86" s="6">
        <v>0</v>
      </c>
      <c r="E86" s="38">
        <v>28</v>
      </c>
      <c r="F86" s="1">
        <v>28</v>
      </c>
      <c r="H86" s="7">
        <v>0</v>
      </c>
      <c r="I86" s="7">
        <v>0</v>
      </c>
      <c r="J86" s="7">
        <v>76.37</v>
      </c>
      <c r="K86" s="7">
        <v>76.37</v>
      </c>
      <c r="M86" s="34">
        <v>0</v>
      </c>
      <c r="N86" s="34">
        <v>389.20370000000003</v>
      </c>
      <c r="O86" s="34">
        <v>389.20370000000003</v>
      </c>
      <c r="Q86" s="34">
        <v>0</v>
      </c>
      <c r="R86" s="34">
        <v>5128.26</v>
      </c>
      <c r="S86" s="34">
        <v>5128.26</v>
      </c>
      <c r="T86" s="34"/>
    </row>
    <row r="87" spans="1:20" x14ac:dyDescent="0.35">
      <c r="A87" s="28">
        <v>67</v>
      </c>
      <c r="B87" s="16" t="s">
        <v>71</v>
      </c>
      <c r="C87" s="6">
        <v>0</v>
      </c>
      <c r="D87" s="6">
        <v>0</v>
      </c>
      <c r="E87" s="38">
        <v>14</v>
      </c>
      <c r="F87" s="1">
        <v>14</v>
      </c>
      <c r="H87" s="7">
        <v>0</v>
      </c>
      <c r="I87" s="7">
        <v>0</v>
      </c>
      <c r="J87" s="7">
        <v>83.79</v>
      </c>
      <c r="K87" s="7">
        <v>83.79</v>
      </c>
      <c r="M87" s="34">
        <v>0</v>
      </c>
      <c r="N87" s="34">
        <v>509.97438</v>
      </c>
      <c r="O87" s="34">
        <v>509.97438</v>
      </c>
      <c r="Q87" s="34">
        <v>0</v>
      </c>
      <c r="R87" s="34">
        <v>6148.31</v>
      </c>
      <c r="S87" s="34">
        <v>6148.31</v>
      </c>
      <c r="T87" s="34"/>
    </row>
    <row r="88" spans="1:20" x14ac:dyDescent="0.35">
      <c r="A88" s="28">
        <v>68</v>
      </c>
      <c r="B88" s="16" t="s">
        <v>72</v>
      </c>
      <c r="C88" s="6">
        <v>15</v>
      </c>
      <c r="D88" s="6">
        <v>0</v>
      </c>
      <c r="E88" s="38">
        <v>77</v>
      </c>
      <c r="F88" s="1">
        <v>92</v>
      </c>
      <c r="H88" s="7">
        <v>82.47</v>
      </c>
      <c r="I88" s="7">
        <v>0</v>
      </c>
      <c r="J88" s="7">
        <v>73.47</v>
      </c>
      <c r="K88" s="7">
        <v>75</v>
      </c>
      <c r="M88" s="34">
        <v>561.13333</v>
      </c>
      <c r="N88" s="34">
        <v>439.73889000000003</v>
      </c>
      <c r="O88" s="34">
        <v>460.66896999999994</v>
      </c>
      <c r="Q88" s="34">
        <v>7025.28</v>
      </c>
      <c r="R88" s="34">
        <v>6101.63</v>
      </c>
      <c r="S88" s="34">
        <v>6260.88</v>
      </c>
      <c r="T88" s="34"/>
    </row>
    <row r="89" spans="1:20" x14ac:dyDescent="0.35">
      <c r="A89" s="28">
        <v>69</v>
      </c>
      <c r="B89" s="16" t="s">
        <v>73</v>
      </c>
      <c r="C89" s="6">
        <v>10</v>
      </c>
      <c r="D89" s="6">
        <v>3</v>
      </c>
      <c r="E89" s="38">
        <v>39</v>
      </c>
      <c r="F89" s="1">
        <v>52</v>
      </c>
      <c r="H89" s="7">
        <v>66.88</v>
      </c>
      <c r="I89" s="7">
        <v>71.67</v>
      </c>
      <c r="J89" s="7">
        <v>104.17</v>
      </c>
      <c r="K89" s="7">
        <v>95.75</v>
      </c>
      <c r="M89" s="34">
        <v>415.43124999999998</v>
      </c>
      <c r="N89" s="34">
        <v>703.85077000000001</v>
      </c>
      <c r="O89" s="34">
        <v>650.19131999999991</v>
      </c>
      <c r="Q89" s="34">
        <v>6229.66</v>
      </c>
      <c r="R89" s="34">
        <v>6615.16</v>
      </c>
      <c r="S89" s="34">
        <v>6543.44</v>
      </c>
      <c r="T89" s="34"/>
    </row>
    <row r="90" spans="1:20" x14ac:dyDescent="0.35">
      <c r="A90" s="28">
        <v>70</v>
      </c>
      <c r="B90" s="16" t="s">
        <v>74</v>
      </c>
      <c r="C90" s="6">
        <v>2</v>
      </c>
      <c r="D90" s="6">
        <v>1</v>
      </c>
      <c r="E90" s="38">
        <v>61</v>
      </c>
      <c r="F90" s="1">
        <v>64</v>
      </c>
      <c r="H90" s="7">
        <v>66</v>
      </c>
      <c r="I90" s="7">
        <v>73</v>
      </c>
      <c r="J90" s="7">
        <v>62.4</v>
      </c>
      <c r="K90" s="7">
        <v>62.65</v>
      </c>
      <c r="M90" s="59" t="s">
        <v>100</v>
      </c>
      <c r="N90" s="34">
        <v>189.28807999999998</v>
      </c>
      <c r="O90" s="34">
        <v>189.30204000000001</v>
      </c>
      <c r="Q90" s="59" t="s">
        <v>100</v>
      </c>
      <c r="R90" s="34">
        <v>2673.6</v>
      </c>
      <c r="S90" s="34">
        <v>2677.62</v>
      </c>
      <c r="T90" s="34"/>
    </row>
    <row r="91" spans="1:20" x14ac:dyDescent="0.35">
      <c r="A91" s="28">
        <v>71</v>
      </c>
      <c r="B91" s="16" t="s">
        <v>75</v>
      </c>
      <c r="C91" s="6">
        <v>11</v>
      </c>
      <c r="D91" s="6">
        <v>1</v>
      </c>
      <c r="E91" s="38">
        <v>33</v>
      </c>
      <c r="F91" s="1">
        <v>45</v>
      </c>
      <c r="H91" s="7">
        <v>87.1</v>
      </c>
      <c r="I91" s="7">
        <v>94</v>
      </c>
      <c r="J91" s="7">
        <v>78.42</v>
      </c>
      <c r="K91" s="7">
        <v>80.86</v>
      </c>
      <c r="M91" s="34">
        <v>529.29476999999997</v>
      </c>
      <c r="N91" s="34">
        <v>418.48496</v>
      </c>
      <c r="O91" s="34">
        <v>450.14490999999998</v>
      </c>
      <c r="Q91" s="34">
        <v>5401.35</v>
      </c>
      <c r="R91" s="34">
        <v>5261.13</v>
      </c>
      <c r="S91" s="34">
        <v>5301.19</v>
      </c>
      <c r="T91" s="34"/>
    </row>
    <row r="92" spans="1:20" x14ac:dyDescent="0.35">
      <c r="A92" s="28">
        <v>72</v>
      </c>
      <c r="B92" s="16" t="s">
        <v>76</v>
      </c>
      <c r="C92" s="6">
        <v>0</v>
      </c>
      <c r="D92" s="6">
        <v>0</v>
      </c>
      <c r="E92" s="38">
        <v>60</v>
      </c>
      <c r="F92" s="1">
        <v>60</v>
      </c>
      <c r="H92" s="7">
        <v>0</v>
      </c>
      <c r="I92" s="7">
        <v>0</v>
      </c>
      <c r="J92" s="7">
        <v>72.34</v>
      </c>
      <c r="K92" s="7">
        <v>72.34</v>
      </c>
      <c r="M92" s="34">
        <v>0</v>
      </c>
      <c r="N92" s="34">
        <v>266.54937000000001</v>
      </c>
      <c r="O92" s="34">
        <v>266.54937000000001</v>
      </c>
      <c r="Q92" s="34">
        <v>0</v>
      </c>
      <c r="R92" s="34">
        <v>3736.07</v>
      </c>
      <c r="S92" s="34">
        <v>3736.07</v>
      </c>
      <c r="T92" s="34"/>
    </row>
    <row r="93" spans="1:20" x14ac:dyDescent="0.35">
      <c r="A93" s="30">
        <v>73</v>
      </c>
      <c r="B93" s="17" t="s">
        <v>77</v>
      </c>
      <c r="C93" s="6">
        <v>0</v>
      </c>
      <c r="D93" s="6">
        <v>0</v>
      </c>
      <c r="E93" s="38">
        <v>62</v>
      </c>
      <c r="F93" s="1">
        <v>62</v>
      </c>
      <c r="H93" s="7">
        <v>0</v>
      </c>
      <c r="I93" s="7">
        <v>0</v>
      </c>
      <c r="J93" s="7">
        <v>72.98</v>
      </c>
      <c r="K93" s="7">
        <v>72.98</v>
      </c>
      <c r="M93" s="34">
        <v>0</v>
      </c>
      <c r="N93" s="34">
        <v>237.86923000000002</v>
      </c>
      <c r="O93" s="34">
        <v>237.86923000000002</v>
      </c>
      <c r="Q93" s="34">
        <v>0</v>
      </c>
      <c r="R93" s="37">
        <v>3286.91</v>
      </c>
      <c r="S93" s="37">
        <v>3286.91</v>
      </c>
      <c r="T93" s="52"/>
    </row>
    <row r="94" spans="1:20" x14ac:dyDescent="0.35">
      <c r="C94" s="47"/>
      <c r="D94" s="47"/>
      <c r="E94" s="47"/>
      <c r="F94" s="48"/>
      <c r="G94" s="49"/>
      <c r="H94" s="50"/>
      <c r="I94" s="50"/>
      <c r="J94" s="50"/>
      <c r="K94" s="50"/>
      <c r="L94" s="50"/>
      <c r="M94" s="51"/>
      <c r="N94" s="51"/>
      <c r="O94" s="51"/>
      <c r="P94" s="50"/>
      <c r="Q94" s="51"/>
    </row>
    <row r="95" spans="1:20" x14ac:dyDescent="0.35">
      <c r="B95" s="33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BF81-EE2A-48B8-A5E3-A0456F6DB688}">
  <dimension ref="A1:T95"/>
  <sheetViews>
    <sheetView workbookViewId="0">
      <selection activeCell="A2" sqref="A2"/>
    </sheetView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19" width="10.73046875" style="34" customWidth="1"/>
    <col min="20" max="16384" width="11.3984375" style="1"/>
  </cols>
  <sheetData>
    <row r="1" spans="1:20" ht="13.9" x14ac:dyDescent="0.4">
      <c r="A1" s="2" t="s">
        <v>91</v>
      </c>
    </row>
    <row r="2" spans="1:20" ht="13.15" x14ac:dyDescent="0.4">
      <c r="A2" s="31" t="s">
        <v>104</v>
      </c>
    </row>
    <row r="4" spans="1:20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20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58"/>
      <c r="Q5" s="54" t="s">
        <v>5</v>
      </c>
      <c r="R5" s="54" t="s">
        <v>2</v>
      </c>
      <c r="S5" s="54" t="s">
        <v>3</v>
      </c>
    </row>
    <row r="6" spans="1:20" s="3" customFormat="1" x14ac:dyDescent="0.35">
      <c r="B6" s="103" t="s">
        <v>94</v>
      </c>
      <c r="C6" s="6">
        <v>1598</v>
      </c>
      <c r="D6" s="6">
        <v>142</v>
      </c>
      <c r="E6" s="6">
        <v>14651</v>
      </c>
      <c r="F6" s="6">
        <v>16391</v>
      </c>
      <c r="G6" s="6"/>
      <c r="H6" s="1">
        <v>79.75</v>
      </c>
      <c r="I6" s="7">
        <v>66.760000000000005</v>
      </c>
      <c r="J6" s="7">
        <v>79.900000000000006</v>
      </c>
      <c r="K6" s="7">
        <v>79.77</v>
      </c>
      <c r="L6" s="7"/>
      <c r="M6" s="34">
        <v>435.04702000000003</v>
      </c>
      <c r="N6" s="34">
        <v>391.20340000000004</v>
      </c>
      <c r="O6" s="34">
        <v>395.79246000000001</v>
      </c>
      <c r="P6" s="34"/>
      <c r="Q6" s="34">
        <v>5273.05</v>
      </c>
      <c r="R6" s="34">
        <v>4651.76</v>
      </c>
      <c r="S6" s="34">
        <v>4716.79</v>
      </c>
      <c r="T6" s="34"/>
    </row>
    <row r="7" spans="1:20" s="3" customFormat="1" x14ac:dyDescent="0.35">
      <c r="C7" s="38"/>
      <c r="D7" s="38"/>
      <c r="E7" s="38"/>
      <c r="H7" s="105"/>
      <c r="I7" s="105"/>
      <c r="J7" s="105"/>
      <c r="K7" s="105"/>
      <c r="L7" s="105"/>
      <c r="M7" s="108"/>
      <c r="N7" s="107"/>
      <c r="O7" s="107"/>
      <c r="P7" s="107"/>
      <c r="Q7" s="107"/>
      <c r="R7" s="108"/>
      <c r="S7" s="107"/>
      <c r="T7" s="107"/>
    </row>
    <row r="8" spans="1:20" x14ac:dyDescent="0.35">
      <c r="B8" s="109" t="s">
        <v>88</v>
      </c>
      <c r="C8" s="110"/>
      <c r="D8" s="110"/>
      <c r="E8" s="110"/>
      <c r="F8" s="1"/>
      <c r="H8" s="111"/>
      <c r="I8" s="111"/>
      <c r="J8" s="111"/>
      <c r="K8" s="111"/>
      <c r="L8" s="111"/>
      <c r="N8" s="59"/>
      <c r="O8" s="59"/>
      <c r="P8" s="59"/>
      <c r="Q8" s="59"/>
      <c r="S8" s="59"/>
      <c r="T8" s="59"/>
    </row>
    <row r="9" spans="1:20" s="3" customFormat="1" x14ac:dyDescent="0.35">
      <c r="A9" s="112">
        <v>1</v>
      </c>
      <c r="B9" s="3" t="s">
        <v>79</v>
      </c>
      <c r="C9" s="38">
        <v>103</v>
      </c>
      <c r="D9" s="38">
        <v>0</v>
      </c>
      <c r="E9" s="38">
        <v>1464</v>
      </c>
      <c r="F9" s="3">
        <v>1567</v>
      </c>
      <c r="H9" s="105">
        <v>60.68</v>
      </c>
      <c r="I9" s="105">
        <v>0</v>
      </c>
      <c r="J9" s="105">
        <v>66.48</v>
      </c>
      <c r="K9" s="105">
        <v>66.17</v>
      </c>
      <c r="L9" s="105"/>
      <c r="M9" s="108">
        <v>309.69279999999998</v>
      </c>
      <c r="N9" s="107">
        <v>275.65409000000005</v>
      </c>
      <c r="O9" s="107">
        <v>277.51921999999996</v>
      </c>
      <c r="P9" s="107"/>
      <c r="Q9" s="107">
        <v>5294.68</v>
      </c>
      <c r="R9" s="108">
        <v>4287.96</v>
      </c>
      <c r="S9" s="107">
        <v>4343.12</v>
      </c>
      <c r="T9" s="107"/>
    </row>
    <row r="10" spans="1:20" s="3" customFormat="1" x14ac:dyDescent="0.35">
      <c r="A10" s="112">
        <v>2</v>
      </c>
      <c r="B10" s="3" t="s">
        <v>80</v>
      </c>
      <c r="C10" s="38">
        <v>422</v>
      </c>
      <c r="D10" s="38">
        <v>20</v>
      </c>
      <c r="E10" s="38">
        <v>2236</v>
      </c>
      <c r="F10" s="3">
        <v>2678</v>
      </c>
      <c r="H10" s="105">
        <v>95.5</v>
      </c>
      <c r="I10" s="105">
        <v>92.33</v>
      </c>
      <c r="J10" s="105">
        <v>92.84</v>
      </c>
      <c r="K10" s="105">
        <v>93.24</v>
      </c>
      <c r="L10" s="105"/>
      <c r="M10" s="108">
        <v>616.47928000000002</v>
      </c>
      <c r="N10" s="107">
        <v>531.80678</v>
      </c>
      <c r="O10" s="107">
        <v>545.27046999999993</v>
      </c>
      <c r="P10" s="107"/>
      <c r="Q10" s="107">
        <v>6217.86</v>
      </c>
      <c r="R10" s="108">
        <v>5645.33</v>
      </c>
      <c r="S10" s="107">
        <v>5736.37</v>
      </c>
      <c r="T10" s="107"/>
    </row>
    <row r="11" spans="1:20" s="3" customFormat="1" x14ac:dyDescent="0.35">
      <c r="A11" s="112">
        <v>3</v>
      </c>
      <c r="B11" s="3" t="s">
        <v>81</v>
      </c>
      <c r="C11" s="38">
        <v>257</v>
      </c>
      <c r="D11" s="38">
        <v>62</v>
      </c>
      <c r="E11" s="38">
        <v>1765</v>
      </c>
      <c r="F11" s="3">
        <v>2084</v>
      </c>
      <c r="H11" s="105">
        <v>65.930000000000007</v>
      </c>
      <c r="I11" s="105">
        <v>58.48</v>
      </c>
      <c r="J11" s="105">
        <v>66.91</v>
      </c>
      <c r="K11" s="105">
        <v>66.510000000000005</v>
      </c>
      <c r="L11" s="105"/>
      <c r="M11" s="108">
        <v>370.58678000000003</v>
      </c>
      <c r="N11" s="107">
        <v>283.52584000000002</v>
      </c>
      <c r="O11" s="107">
        <v>295.14817999999997</v>
      </c>
      <c r="P11" s="107"/>
      <c r="Q11" s="107">
        <v>5599.6</v>
      </c>
      <c r="R11" s="108">
        <v>4360.79</v>
      </c>
      <c r="S11" s="107">
        <v>4526.17</v>
      </c>
      <c r="T11" s="107"/>
    </row>
    <row r="12" spans="1:20" s="3" customFormat="1" x14ac:dyDescent="0.35">
      <c r="A12" s="112">
        <v>4</v>
      </c>
      <c r="B12" s="3" t="s">
        <v>82</v>
      </c>
      <c r="C12" s="38">
        <v>21</v>
      </c>
      <c r="D12" s="38">
        <v>0</v>
      </c>
      <c r="E12" s="38">
        <v>679</v>
      </c>
      <c r="F12" s="3">
        <v>700</v>
      </c>
      <c r="H12" s="105">
        <v>94.67</v>
      </c>
      <c r="I12" s="105">
        <v>0</v>
      </c>
      <c r="J12" s="105">
        <v>98.71</v>
      </c>
      <c r="K12" s="105">
        <v>98.59</v>
      </c>
      <c r="L12" s="105"/>
      <c r="M12" s="108">
        <v>613.19449999999995</v>
      </c>
      <c r="N12" s="107">
        <v>590.47293000000002</v>
      </c>
      <c r="O12" s="107">
        <v>591.20589000000007</v>
      </c>
      <c r="P12" s="107"/>
      <c r="Q12" s="107">
        <v>6504.52</v>
      </c>
      <c r="R12" s="108">
        <v>5699.22</v>
      </c>
      <c r="S12" s="107">
        <v>5725.2</v>
      </c>
      <c r="T12" s="107"/>
    </row>
    <row r="13" spans="1:20" s="3" customFormat="1" x14ac:dyDescent="0.35">
      <c r="A13" s="112">
        <v>5</v>
      </c>
      <c r="B13" s="3" t="s">
        <v>83</v>
      </c>
      <c r="C13" s="38">
        <v>66</v>
      </c>
      <c r="D13" s="38">
        <v>0</v>
      </c>
      <c r="E13" s="38">
        <v>1312</v>
      </c>
      <c r="F13" s="3">
        <v>1378</v>
      </c>
      <c r="H13" s="105">
        <v>123.14</v>
      </c>
      <c r="I13" s="105">
        <v>0</v>
      </c>
      <c r="J13" s="105">
        <v>127.86</v>
      </c>
      <c r="K13" s="105">
        <v>127.65</v>
      </c>
      <c r="L13" s="105"/>
      <c r="M13" s="108">
        <v>857.34731999999997</v>
      </c>
      <c r="N13" s="107">
        <v>811.70650000000001</v>
      </c>
      <c r="O13" s="107">
        <v>813.84710999999993</v>
      </c>
      <c r="P13" s="107"/>
      <c r="Q13" s="107">
        <v>6704</v>
      </c>
      <c r="R13" s="108">
        <v>6376.07</v>
      </c>
      <c r="S13" s="107">
        <v>6391.45</v>
      </c>
      <c r="T13" s="107"/>
    </row>
    <row r="14" spans="1:20" s="3" customFormat="1" x14ac:dyDescent="0.35">
      <c r="A14" s="112">
        <v>6</v>
      </c>
      <c r="B14" s="3" t="s">
        <v>84</v>
      </c>
      <c r="C14" s="38">
        <v>61</v>
      </c>
      <c r="D14" s="38">
        <v>4</v>
      </c>
      <c r="E14" s="38">
        <v>1016</v>
      </c>
      <c r="F14" s="3">
        <v>1081</v>
      </c>
      <c r="H14" s="105">
        <v>84.66</v>
      </c>
      <c r="I14" s="105">
        <v>67.33</v>
      </c>
      <c r="J14" s="105">
        <v>78.959999999999994</v>
      </c>
      <c r="K14" s="105">
        <v>79.239999999999995</v>
      </c>
      <c r="L14" s="105"/>
      <c r="M14" s="108">
        <v>341.85289</v>
      </c>
      <c r="N14" s="107">
        <v>403.25303000000002</v>
      </c>
      <c r="O14" s="107">
        <v>399.85615000000001</v>
      </c>
      <c r="P14" s="107"/>
      <c r="Q14" s="107">
        <v>4203.7700000000004</v>
      </c>
      <c r="R14" s="108">
        <v>5180.8999999999996</v>
      </c>
      <c r="S14" s="107">
        <v>5126.84</v>
      </c>
      <c r="T14" s="107"/>
    </row>
    <row r="15" spans="1:20" s="3" customFormat="1" x14ac:dyDescent="0.35">
      <c r="A15" s="112">
        <v>7</v>
      </c>
      <c r="B15" s="3" t="s">
        <v>85</v>
      </c>
      <c r="C15" s="38">
        <v>365</v>
      </c>
      <c r="D15" s="38">
        <v>27</v>
      </c>
      <c r="E15" s="38">
        <v>1247</v>
      </c>
      <c r="F15" s="3">
        <v>1639</v>
      </c>
      <c r="H15" s="105">
        <v>70.33</v>
      </c>
      <c r="I15" s="105">
        <v>67.959999999999994</v>
      </c>
      <c r="J15" s="105">
        <v>68.64</v>
      </c>
      <c r="K15" s="105">
        <v>69.010000000000005</v>
      </c>
      <c r="L15" s="105"/>
      <c r="M15" s="108">
        <v>263.26740999999998</v>
      </c>
      <c r="N15" s="107">
        <v>259.74104999999997</v>
      </c>
      <c r="O15" s="107">
        <v>260.57643000000002</v>
      </c>
      <c r="P15" s="107"/>
      <c r="Q15" s="107">
        <v>3652.91</v>
      </c>
      <c r="R15" s="108">
        <v>3770.64</v>
      </c>
      <c r="S15" s="107">
        <v>3742.75</v>
      </c>
      <c r="T15" s="107"/>
    </row>
    <row r="16" spans="1:20" s="3" customFormat="1" x14ac:dyDescent="0.35">
      <c r="A16" s="112">
        <v>8</v>
      </c>
      <c r="B16" s="3" t="s">
        <v>86</v>
      </c>
      <c r="C16" s="38">
        <v>19</v>
      </c>
      <c r="D16" s="38">
        <v>0</v>
      </c>
      <c r="E16" s="38">
        <v>1680</v>
      </c>
      <c r="F16" s="3">
        <v>1699</v>
      </c>
      <c r="H16" s="105">
        <v>81.44</v>
      </c>
      <c r="I16" s="105">
        <v>0</v>
      </c>
      <c r="J16" s="105">
        <v>63.93</v>
      </c>
      <c r="K16" s="105">
        <v>64.14</v>
      </c>
      <c r="L16" s="105"/>
      <c r="M16" s="108">
        <v>249.13267000000002</v>
      </c>
      <c r="N16" s="107">
        <v>188.84211999999999</v>
      </c>
      <c r="O16" s="107">
        <v>189.82689999999999</v>
      </c>
      <c r="P16" s="107"/>
      <c r="Q16" s="107">
        <v>3381.78</v>
      </c>
      <c r="R16" s="108">
        <v>2966.5</v>
      </c>
      <c r="S16" s="107">
        <v>2973.28</v>
      </c>
      <c r="T16" s="107"/>
    </row>
    <row r="17" spans="1:20" s="3" customFormat="1" x14ac:dyDescent="0.35">
      <c r="A17" s="112">
        <v>9</v>
      </c>
      <c r="B17" s="3" t="s">
        <v>64</v>
      </c>
      <c r="C17" s="38">
        <v>86</v>
      </c>
      <c r="D17" s="38">
        <v>6</v>
      </c>
      <c r="E17" s="38">
        <v>1151</v>
      </c>
      <c r="F17" s="3">
        <v>1243</v>
      </c>
      <c r="H17" s="105">
        <v>83.59</v>
      </c>
      <c r="I17" s="105">
        <v>66.17</v>
      </c>
      <c r="J17" s="105">
        <v>71.56</v>
      </c>
      <c r="K17" s="105">
        <v>72.36</v>
      </c>
      <c r="L17" s="105"/>
      <c r="M17" s="108">
        <v>397.65226000000001</v>
      </c>
      <c r="N17" s="107">
        <v>256.06160999999997</v>
      </c>
      <c r="O17" s="107">
        <v>267.24727000000001</v>
      </c>
      <c r="P17" s="107"/>
      <c r="Q17" s="107">
        <v>5141.66</v>
      </c>
      <c r="R17" s="108">
        <v>3592.22</v>
      </c>
      <c r="S17" s="107">
        <v>3714.62</v>
      </c>
      <c r="T17" s="107"/>
    </row>
    <row r="18" spans="1:20" s="3" customFormat="1" x14ac:dyDescent="0.35">
      <c r="A18" s="112">
        <v>10</v>
      </c>
      <c r="B18" s="3" t="s">
        <v>87</v>
      </c>
      <c r="C18" s="38">
        <v>192</v>
      </c>
      <c r="D18" s="38">
        <v>23</v>
      </c>
      <c r="E18" s="38">
        <v>2014</v>
      </c>
      <c r="F18" s="3">
        <v>2229</v>
      </c>
      <c r="H18" s="105">
        <v>71.900000000000006</v>
      </c>
      <c r="I18" s="105">
        <v>71.09</v>
      </c>
      <c r="J18" s="105">
        <v>74.09</v>
      </c>
      <c r="K18" s="105">
        <v>73.87</v>
      </c>
      <c r="L18" s="105"/>
      <c r="M18" s="108">
        <v>442.93223999999998</v>
      </c>
      <c r="N18" s="107">
        <v>341.86363</v>
      </c>
      <c r="O18" s="107">
        <v>351.64805000000001</v>
      </c>
      <c r="P18" s="107"/>
      <c r="Q18" s="107">
        <v>6101.11</v>
      </c>
      <c r="R18" s="108">
        <v>4517.0200000000004</v>
      </c>
      <c r="S18" s="107">
        <v>4670.37</v>
      </c>
      <c r="T18" s="107"/>
    </row>
    <row r="19" spans="1:20" s="3" customFormat="1" x14ac:dyDescent="0.35">
      <c r="A19" s="112"/>
      <c r="C19" s="38"/>
      <c r="D19" s="38"/>
      <c r="E19" s="38"/>
      <c r="F19" s="38"/>
      <c r="G19" s="38"/>
      <c r="I19" s="105"/>
      <c r="J19" s="105"/>
      <c r="K19" s="105"/>
      <c r="L19" s="105"/>
      <c r="M19" s="107"/>
      <c r="N19" s="108"/>
      <c r="O19" s="107"/>
      <c r="P19" s="107"/>
      <c r="Q19" s="107"/>
      <c r="R19" s="107"/>
      <c r="S19" s="108"/>
      <c r="T19" s="107"/>
    </row>
    <row r="20" spans="1:20" x14ac:dyDescent="0.35">
      <c r="A20" s="112"/>
      <c r="B20" s="109" t="s">
        <v>89</v>
      </c>
      <c r="C20" s="110"/>
      <c r="D20" s="110"/>
      <c r="E20" s="110"/>
      <c r="F20" s="1"/>
      <c r="H20" s="111"/>
      <c r="I20" s="111"/>
      <c r="J20" s="111"/>
      <c r="K20" s="111"/>
      <c r="L20" s="111"/>
      <c r="N20" s="59"/>
      <c r="O20" s="59"/>
      <c r="P20" s="59"/>
      <c r="Q20" s="59"/>
      <c r="S20" s="59"/>
      <c r="T20" s="59"/>
    </row>
    <row r="21" spans="1:20" x14ac:dyDescent="0.35">
      <c r="A21" s="112">
        <v>1</v>
      </c>
      <c r="B21" s="6" t="s">
        <v>8</v>
      </c>
      <c r="C21" s="6">
        <v>53</v>
      </c>
      <c r="D21" s="6">
        <v>0</v>
      </c>
      <c r="E21" s="38">
        <v>719</v>
      </c>
      <c r="F21" s="1">
        <v>772</v>
      </c>
      <c r="H21" s="7">
        <v>48.5</v>
      </c>
      <c r="I21" s="7">
        <v>0</v>
      </c>
      <c r="J21" s="7">
        <v>62.44</v>
      </c>
      <c r="K21" s="7">
        <v>61.82</v>
      </c>
      <c r="M21" s="34">
        <v>246.5</v>
      </c>
      <c r="N21" s="34">
        <v>215.66647</v>
      </c>
      <c r="O21" s="34">
        <v>217.08035000000001</v>
      </c>
      <c r="Q21" s="34">
        <v>4813.21</v>
      </c>
      <c r="R21" s="34">
        <v>3572.65</v>
      </c>
      <c r="S21" s="34">
        <v>3629.54</v>
      </c>
      <c r="T21" s="34"/>
    </row>
    <row r="22" spans="1:20" x14ac:dyDescent="0.35">
      <c r="A22" s="112">
        <v>2</v>
      </c>
      <c r="B22" s="6" t="s">
        <v>9</v>
      </c>
      <c r="C22" s="6">
        <v>17</v>
      </c>
      <c r="D22" s="6">
        <v>0</v>
      </c>
      <c r="E22" s="38">
        <v>240</v>
      </c>
      <c r="F22" s="1">
        <v>257</v>
      </c>
      <c r="H22" s="7">
        <v>106.36</v>
      </c>
      <c r="I22" s="7">
        <v>0</v>
      </c>
      <c r="J22" s="7">
        <v>92.14</v>
      </c>
      <c r="K22" s="7">
        <v>93.07</v>
      </c>
      <c r="M22" s="34">
        <v>471.04263000000003</v>
      </c>
      <c r="N22" s="34">
        <v>402.23596999999995</v>
      </c>
      <c r="O22" s="34">
        <v>406.75846999999999</v>
      </c>
      <c r="Q22" s="34">
        <v>4631.95</v>
      </c>
      <c r="R22" s="34">
        <v>4587.7700000000004</v>
      </c>
      <c r="S22" s="34">
        <v>4590.67</v>
      </c>
      <c r="T22" s="34"/>
    </row>
    <row r="23" spans="1:20" x14ac:dyDescent="0.35">
      <c r="A23" s="112">
        <v>3</v>
      </c>
      <c r="B23" s="6" t="s">
        <v>10</v>
      </c>
      <c r="C23" s="6">
        <v>21</v>
      </c>
      <c r="D23" s="6">
        <v>0</v>
      </c>
      <c r="E23" s="38">
        <v>204</v>
      </c>
      <c r="F23" s="1">
        <v>225</v>
      </c>
      <c r="H23" s="7">
        <v>36.29</v>
      </c>
      <c r="I23" s="7">
        <v>0</v>
      </c>
      <c r="J23" s="7">
        <v>45.37</v>
      </c>
      <c r="K23" s="7">
        <v>44.51</v>
      </c>
      <c r="M23" s="34">
        <v>235.77941000000001</v>
      </c>
      <c r="N23" s="34">
        <v>242.68844000000001</v>
      </c>
      <c r="O23" s="34">
        <v>242.02859000000001</v>
      </c>
      <c r="Q23" s="34">
        <v>6620.99</v>
      </c>
      <c r="R23" s="34">
        <v>5528.91</v>
      </c>
      <c r="S23" s="34">
        <v>5633.21</v>
      </c>
      <c r="T23" s="34"/>
    </row>
    <row r="24" spans="1:20" x14ac:dyDescent="0.35">
      <c r="A24" s="112">
        <v>4</v>
      </c>
      <c r="B24" s="6" t="s">
        <v>11</v>
      </c>
      <c r="C24" s="6">
        <v>12</v>
      </c>
      <c r="D24" s="6">
        <v>0</v>
      </c>
      <c r="E24" s="38">
        <v>301</v>
      </c>
      <c r="F24" s="1">
        <v>313</v>
      </c>
      <c r="H24" s="7">
        <v>69</v>
      </c>
      <c r="I24" s="7">
        <v>0</v>
      </c>
      <c r="J24" s="7">
        <v>68.739999999999995</v>
      </c>
      <c r="K24" s="7">
        <v>68.75</v>
      </c>
      <c r="M24" s="34">
        <v>367.93304000000001</v>
      </c>
      <c r="N24" s="34">
        <v>321.87091999999996</v>
      </c>
      <c r="O24" s="34">
        <v>323.66131999999999</v>
      </c>
      <c r="Q24" s="34">
        <v>5226.45</v>
      </c>
      <c r="R24" s="34">
        <v>4756.82</v>
      </c>
      <c r="S24" s="34">
        <v>4775.07</v>
      </c>
      <c r="T24" s="34"/>
    </row>
    <row r="25" spans="1:20" x14ac:dyDescent="0.35">
      <c r="A25" s="112">
        <v>5</v>
      </c>
      <c r="B25" s="6" t="s">
        <v>12</v>
      </c>
      <c r="C25" s="6">
        <v>7</v>
      </c>
      <c r="D25" s="6">
        <v>0</v>
      </c>
      <c r="E25" s="38">
        <v>221</v>
      </c>
      <c r="F25" s="1">
        <v>228</v>
      </c>
      <c r="H25" s="7">
        <v>67.86</v>
      </c>
      <c r="I25" s="7">
        <v>0</v>
      </c>
      <c r="J25" s="7">
        <v>82.23</v>
      </c>
      <c r="K25" s="7">
        <v>81.75</v>
      </c>
      <c r="M25" s="34">
        <v>384.63081</v>
      </c>
      <c r="N25" s="34">
        <v>399.73662999999999</v>
      </c>
      <c r="O25" s="34">
        <v>399.20527000000004</v>
      </c>
      <c r="Q25" s="34">
        <v>5759.44</v>
      </c>
      <c r="R25" s="34">
        <v>4944.8599999999997</v>
      </c>
      <c r="S25" s="34">
        <v>4973.51</v>
      </c>
      <c r="T25" s="34"/>
    </row>
    <row r="26" spans="1:20" x14ac:dyDescent="0.35">
      <c r="A26" s="112">
        <v>6</v>
      </c>
      <c r="B26" s="6" t="s">
        <v>13</v>
      </c>
      <c r="C26" s="6">
        <v>42</v>
      </c>
      <c r="D26" s="6">
        <v>0</v>
      </c>
      <c r="E26" s="38">
        <v>368</v>
      </c>
      <c r="F26" s="1">
        <v>410</v>
      </c>
      <c r="H26" s="7">
        <v>109.34</v>
      </c>
      <c r="I26" s="7">
        <v>0</v>
      </c>
      <c r="J26" s="7">
        <v>73.73</v>
      </c>
      <c r="K26" s="7">
        <v>77.63</v>
      </c>
      <c r="M26" s="34">
        <v>678.53057999999999</v>
      </c>
      <c r="N26" s="34">
        <v>359.06951000000004</v>
      </c>
      <c r="O26" s="34">
        <v>394.56518</v>
      </c>
      <c r="Q26" s="34">
        <v>6274.03</v>
      </c>
      <c r="R26" s="34">
        <v>4992.24</v>
      </c>
      <c r="S26" s="34">
        <v>5134.66</v>
      </c>
      <c r="T26" s="34"/>
    </row>
    <row r="27" spans="1:20" x14ac:dyDescent="0.35">
      <c r="A27" s="112">
        <v>7</v>
      </c>
      <c r="B27" s="6" t="s">
        <v>14</v>
      </c>
      <c r="C27" s="6">
        <v>109</v>
      </c>
      <c r="D27" s="6">
        <v>0</v>
      </c>
      <c r="E27" s="38">
        <v>531</v>
      </c>
      <c r="F27" s="1">
        <v>640</v>
      </c>
      <c r="H27" s="7">
        <v>118.26</v>
      </c>
      <c r="I27" s="7">
        <v>0</v>
      </c>
      <c r="J27" s="7">
        <v>121.17</v>
      </c>
      <c r="K27" s="7">
        <v>120.69</v>
      </c>
      <c r="M27" s="34">
        <v>979.83369999999991</v>
      </c>
      <c r="N27" s="34">
        <v>792.77072999999996</v>
      </c>
      <c r="O27" s="34">
        <v>824.00572999999997</v>
      </c>
      <c r="Q27" s="34">
        <v>8022.38</v>
      </c>
      <c r="R27" s="34">
        <v>6583.23</v>
      </c>
      <c r="S27" s="34">
        <v>6823.53</v>
      </c>
      <c r="T27" s="34"/>
    </row>
    <row r="28" spans="1:20" x14ac:dyDescent="0.35">
      <c r="A28" s="112">
        <v>8</v>
      </c>
      <c r="B28" s="6" t="s">
        <v>15</v>
      </c>
      <c r="C28" s="6">
        <v>32</v>
      </c>
      <c r="D28" s="6">
        <v>1</v>
      </c>
      <c r="E28" s="38">
        <v>454</v>
      </c>
      <c r="F28" s="1">
        <v>487</v>
      </c>
      <c r="H28" s="7">
        <v>96.69</v>
      </c>
      <c r="I28" s="7">
        <v>0</v>
      </c>
      <c r="J28" s="7">
        <v>98.71</v>
      </c>
      <c r="K28" s="7">
        <v>98.63</v>
      </c>
      <c r="M28" s="34">
        <v>596.00006000000008</v>
      </c>
      <c r="N28" s="34">
        <v>592.84441000000004</v>
      </c>
      <c r="O28" s="34">
        <v>592.96666000000005</v>
      </c>
      <c r="Q28" s="34">
        <v>5896.11</v>
      </c>
      <c r="R28" s="34">
        <v>6044.3</v>
      </c>
      <c r="S28" s="34">
        <v>6038.56</v>
      </c>
      <c r="T28" s="34"/>
    </row>
    <row r="29" spans="1:20" x14ac:dyDescent="0.35">
      <c r="A29" s="112">
        <v>9</v>
      </c>
      <c r="B29" s="6" t="s">
        <v>16</v>
      </c>
      <c r="C29" s="6">
        <v>207</v>
      </c>
      <c r="D29" s="6">
        <v>16</v>
      </c>
      <c r="E29" s="38">
        <v>365</v>
      </c>
      <c r="F29" s="1">
        <v>588</v>
      </c>
      <c r="H29" s="7">
        <v>81.2</v>
      </c>
      <c r="I29" s="7">
        <v>91.92</v>
      </c>
      <c r="J29" s="7">
        <v>79.760000000000005</v>
      </c>
      <c r="K29" s="7">
        <v>80.56</v>
      </c>
      <c r="M29" s="34">
        <v>445.29599000000002</v>
      </c>
      <c r="N29" s="34">
        <v>409.95053999999999</v>
      </c>
      <c r="O29" s="34">
        <v>423.78790999999995</v>
      </c>
      <c r="Q29" s="34">
        <v>5474.75</v>
      </c>
      <c r="R29" s="34">
        <v>5219.12</v>
      </c>
      <c r="S29" s="34">
        <v>5319.2</v>
      </c>
      <c r="T29" s="34"/>
    </row>
    <row r="30" spans="1:20" x14ac:dyDescent="0.35">
      <c r="A30" s="112">
        <v>10</v>
      </c>
      <c r="B30" s="6" t="s">
        <v>17</v>
      </c>
      <c r="C30" s="6">
        <v>25</v>
      </c>
      <c r="D30" s="6">
        <v>3</v>
      </c>
      <c r="E30" s="38">
        <v>297</v>
      </c>
      <c r="F30" s="1">
        <v>325</v>
      </c>
      <c r="H30" s="7">
        <v>108.33</v>
      </c>
      <c r="I30" s="7">
        <v>95</v>
      </c>
      <c r="J30" s="7">
        <v>81.37</v>
      </c>
      <c r="K30" s="7">
        <v>83.29</v>
      </c>
      <c r="M30" s="34">
        <v>526.95074</v>
      </c>
      <c r="N30" s="34">
        <v>411.78888000000001</v>
      </c>
      <c r="O30" s="34">
        <v>419.85469000000001</v>
      </c>
      <c r="Q30" s="34">
        <v>5137.1000000000004</v>
      </c>
      <c r="R30" s="34">
        <v>5124.1000000000004</v>
      </c>
      <c r="S30" s="34">
        <v>5125.01</v>
      </c>
      <c r="T30" s="34"/>
    </row>
    <row r="31" spans="1:20" x14ac:dyDescent="0.35">
      <c r="A31" s="112">
        <v>11</v>
      </c>
      <c r="B31" s="6" t="s">
        <v>96</v>
      </c>
      <c r="C31" s="6">
        <v>4</v>
      </c>
      <c r="D31" s="6">
        <v>0</v>
      </c>
      <c r="E31" s="38">
        <v>444</v>
      </c>
      <c r="F31" s="1">
        <v>448</v>
      </c>
      <c r="H31" s="7">
        <v>73</v>
      </c>
      <c r="I31" s="7">
        <v>0</v>
      </c>
      <c r="J31" s="7">
        <v>59.39</v>
      </c>
      <c r="K31" s="7">
        <v>59.53</v>
      </c>
      <c r="M31" s="34">
        <v>389.75</v>
      </c>
      <c r="N31" s="34">
        <v>267.13304999999997</v>
      </c>
      <c r="O31" s="34">
        <v>268.42374999999998</v>
      </c>
      <c r="Q31" s="34">
        <v>5265.9</v>
      </c>
      <c r="R31" s="34">
        <v>4531.17</v>
      </c>
      <c r="S31" s="34">
        <v>4538.8999999999996</v>
      </c>
      <c r="T31" s="34"/>
    </row>
    <row r="32" spans="1:20" x14ac:dyDescent="0.35">
      <c r="A32" s="112">
        <v>12</v>
      </c>
      <c r="B32" s="6" t="s">
        <v>97</v>
      </c>
      <c r="C32" s="6">
        <v>132</v>
      </c>
      <c r="D32" s="6">
        <v>61</v>
      </c>
      <c r="E32" s="38">
        <v>19</v>
      </c>
      <c r="F32" s="1">
        <v>212</v>
      </c>
      <c r="H32" s="7">
        <v>64.180000000000007</v>
      </c>
      <c r="I32" s="7">
        <v>58.57</v>
      </c>
      <c r="J32" s="7">
        <v>78.739999999999995</v>
      </c>
      <c r="K32" s="7">
        <v>63.9</v>
      </c>
      <c r="M32" s="34">
        <v>439.39834999999999</v>
      </c>
      <c r="N32" s="34">
        <v>302.28439000000003</v>
      </c>
      <c r="O32" s="34">
        <v>428.85111999999998</v>
      </c>
      <c r="Q32" s="34">
        <v>6674.97</v>
      </c>
      <c r="R32" s="34">
        <v>3914.03</v>
      </c>
      <c r="S32" s="34">
        <v>6462.59</v>
      </c>
      <c r="T32" s="34"/>
    </row>
    <row r="33" spans="1:20" x14ac:dyDescent="0.35">
      <c r="A33" s="112">
        <v>13</v>
      </c>
      <c r="B33" s="6" t="s">
        <v>18</v>
      </c>
      <c r="C33" s="6">
        <v>6</v>
      </c>
      <c r="D33" s="6">
        <v>0</v>
      </c>
      <c r="E33" s="38">
        <v>260</v>
      </c>
      <c r="F33" s="1">
        <v>266</v>
      </c>
      <c r="H33" s="7">
        <v>62.83</v>
      </c>
      <c r="I33" s="7">
        <v>0</v>
      </c>
      <c r="J33" s="7">
        <v>73.28</v>
      </c>
      <c r="K33" s="7">
        <v>73.02</v>
      </c>
      <c r="M33" s="34">
        <v>203.33349999999999</v>
      </c>
      <c r="N33" s="34">
        <v>304.04788000000002</v>
      </c>
      <c r="O33" s="34">
        <v>300.99592999999999</v>
      </c>
      <c r="Q33" s="34">
        <v>3323.75</v>
      </c>
      <c r="R33" s="34">
        <v>4256.41</v>
      </c>
      <c r="S33" s="34">
        <v>4228.1499999999996</v>
      </c>
      <c r="T33" s="34"/>
    </row>
    <row r="34" spans="1:20" x14ac:dyDescent="0.35">
      <c r="A34" s="112">
        <v>14</v>
      </c>
      <c r="B34" s="6" t="s">
        <v>19</v>
      </c>
      <c r="C34" s="6">
        <v>3</v>
      </c>
      <c r="D34" s="6">
        <v>0</v>
      </c>
      <c r="E34" s="38">
        <v>68</v>
      </c>
      <c r="F34" s="1">
        <v>71</v>
      </c>
      <c r="H34" s="7">
        <v>73</v>
      </c>
      <c r="I34" s="7">
        <v>0</v>
      </c>
      <c r="J34" s="7">
        <v>71.3</v>
      </c>
      <c r="K34" s="7">
        <v>71.349999999999994</v>
      </c>
      <c r="M34" s="59" t="s">
        <v>100</v>
      </c>
      <c r="N34" s="59">
        <v>273.06045</v>
      </c>
      <c r="O34" s="59">
        <v>273.06059000000005</v>
      </c>
      <c r="P34" s="59"/>
      <c r="Q34" s="59" t="s">
        <v>100</v>
      </c>
      <c r="R34" s="34">
        <v>3997.75</v>
      </c>
      <c r="S34" s="34">
        <v>3997.9</v>
      </c>
      <c r="T34" s="34"/>
    </row>
    <row r="35" spans="1:20" x14ac:dyDescent="0.35">
      <c r="A35" s="112">
        <v>15</v>
      </c>
      <c r="B35" s="6" t="s">
        <v>20</v>
      </c>
      <c r="C35" s="6">
        <v>30</v>
      </c>
      <c r="D35" s="6">
        <v>0</v>
      </c>
      <c r="E35" s="38">
        <v>98</v>
      </c>
      <c r="F35" s="1">
        <v>128</v>
      </c>
      <c r="H35" s="7">
        <v>71.41</v>
      </c>
      <c r="I35" s="7">
        <v>0</v>
      </c>
      <c r="J35" s="7">
        <v>70.12</v>
      </c>
      <c r="K35" s="7">
        <v>70.430000000000007</v>
      </c>
      <c r="M35" s="34">
        <v>261.72978999999998</v>
      </c>
      <c r="N35" s="34">
        <v>299.03465</v>
      </c>
      <c r="O35" s="34">
        <v>289.96048999999999</v>
      </c>
      <c r="Q35" s="34">
        <v>3839.11</v>
      </c>
      <c r="R35" s="34">
        <v>4431.95</v>
      </c>
      <c r="S35" s="34">
        <v>4287.75</v>
      </c>
      <c r="T35" s="34"/>
    </row>
    <row r="36" spans="1:20" x14ac:dyDescent="0.35">
      <c r="A36" s="112">
        <v>16</v>
      </c>
      <c r="B36" s="6" t="s">
        <v>21</v>
      </c>
      <c r="C36" s="6">
        <v>4</v>
      </c>
      <c r="D36" s="6">
        <v>1</v>
      </c>
      <c r="E36" s="38">
        <v>187</v>
      </c>
      <c r="F36" s="1">
        <v>192</v>
      </c>
      <c r="H36" s="7">
        <v>67.5</v>
      </c>
      <c r="I36" s="7">
        <v>53</v>
      </c>
      <c r="J36" s="7">
        <v>71.48</v>
      </c>
      <c r="K36" s="7">
        <v>71.28</v>
      </c>
      <c r="M36" s="34">
        <v>254.25</v>
      </c>
      <c r="N36" s="34">
        <v>284.76554999999996</v>
      </c>
      <c r="O36" s="34">
        <v>283.97805</v>
      </c>
      <c r="Q36" s="34">
        <v>4298.95</v>
      </c>
      <c r="R36" s="34">
        <v>4082.73</v>
      </c>
      <c r="S36" s="34">
        <v>4088.31</v>
      </c>
      <c r="T36" s="34"/>
    </row>
    <row r="37" spans="1:20" x14ac:dyDescent="0.35">
      <c r="A37" s="112">
        <v>17</v>
      </c>
      <c r="B37" s="6" t="s">
        <v>22</v>
      </c>
      <c r="C37" s="6">
        <v>16</v>
      </c>
      <c r="D37" s="6">
        <v>0</v>
      </c>
      <c r="E37" s="38">
        <v>251</v>
      </c>
      <c r="F37" s="1">
        <v>267</v>
      </c>
      <c r="H37" s="7">
        <v>73.22</v>
      </c>
      <c r="I37" s="7">
        <v>0</v>
      </c>
      <c r="J37" s="7">
        <v>65.89</v>
      </c>
      <c r="K37" s="7">
        <v>66.17</v>
      </c>
      <c r="M37" s="34">
        <v>369.83332999999999</v>
      </c>
      <c r="N37" s="34">
        <v>271.91078000000005</v>
      </c>
      <c r="O37" s="34">
        <v>275.97208000000001</v>
      </c>
      <c r="Q37" s="34">
        <v>5057.67</v>
      </c>
      <c r="R37" s="34">
        <v>4240.95</v>
      </c>
      <c r="S37" s="34">
        <v>4274.82</v>
      </c>
      <c r="T37" s="34"/>
    </row>
    <row r="38" spans="1:20" x14ac:dyDescent="0.35">
      <c r="A38" s="112">
        <v>18</v>
      </c>
      <c r="B38" s="6" t="s">
        <v>23</v>
      </c>
      <c r="C38" s="6">
        <v>62</v>
      </c>
      <c r="D38" s="6">
        <v>0</v>
      </c>
      <c r="E38" s="38">
        <v>438</v>
      </c>
      <c r="F38" s="1">
        <v>500</v>
      </c>
      <c r="H38" s="7">
        <v>65.53</v>
      </c>
      <c r="I38" s="7">
        <v>0</v>
      </c>
      <c r="J38" s="7">
        <v>67.099999999999994</v>
      </c>
      <c r="K38" s="7">
        <v>66.959999999999994</v>
      </c>
      <c r="M38" s="34">
        <v>236.76470999999998</v>
      </c>
      <c r="N38" s="34">
        <v>294.44229999999999</v>
      </c>
      <c r="O38" s="34">
        <v>289.05483000000004</v>
      </c>
      <c r="Q38" s="34">
        <v>3653.96</v>
      </c>
      <c r="R38" s="34">
        <v>4496.26</v>
      </c>
      <c r="S38" s="34">
        <v>4417.58</v>
      </c>
      <c r="T38" s="34"/>
    </row>
    <row r="39" spans="1:20" x14ac:dyDescent="0.35">
      <c r="A39" s="112">
        <v>19</v>
      </c>
      <c r="B39" s="6" t="s">
        <v>24</v>
      </c>
      <c r="C39" s="6">
        <v>15</v>
      </c>
      <c r="D39" s="6">
        <v>0</v>
      </c>
      <c r="E39" s="38">
        <v>354</v>
      </c>
      <c r="F39" s="1">
        <v>369</v>
      </c>
      <c r="H39" s="7">
        <v>84.47</v>
      </c>
      <c r="I39" s="7">
        <v>0</v>
      </c>
      <c r="J39" s="7">
        <v>87.45</v>
      </c>
      <c r="K39" s="7">
        <v>87.32</v>
      </c>
      <c r="M39" s="34">
        <v>544.83332999999993</v>
      </c>
      <c r="N39" s="34">
        <v>501.60106999999999</v>
      </c>
      <c r="O39" s="34">
        <v>503.69295</v>
      </c>
      <c r="Q39" s="34">
        <v>6543.33</v>
      </c>
      <c r="R39" s="34">
        <v>5669.93</v>
      </c>
      <c r="S39" s="34">
        <v>5712.19</v>
      </c>
      <c r="T39" s="34"/>
    </row>
    <row r="40" spans="1:20" x14ac:dyDescent="0.35">
      <c r="A40" s="112">
        <v>20</v>
      </c>
      <c r="B40" s="6" t="s">
        <v>25</v>
      </c>
      <c r="C40" s="6">
        <v>4</v>
      </c>
      <c r="D40" s="6">
        <v>0</v>
      </c>
      <c r="E40" s="38">
        <v>200</v>
      </c>
      <c r="F40" s="1">
        <v>204</v>
      </c>
      <c r="H40" s="7">
        <v>101</v>
      </c>
      <c r="I40" s="7">
        <v>0</v>
      </c>
      <c r="J40" s="7">
        <v>83.47</v>
      </c>
      <c r="K40" s="7">
        <v>83.57</v>
      </c>
      <c r="M40" s="34">
        <v>445</v>
      </c>
      <c r="N40" s="34">
        <v>404.60796000000005</v>
      </c>
      <c r="O40" s="34">
        <v>404.87905000000001</v>
      </c>
      <c r="Q40" s="34">
        <v>4405.9399999999996</v>
      </c>
      <c r="R40" s="34">
        <v>4829.51</v>
      </c>
      <c r="S40" s="34">
        <v>4826.67</v>
      </c>
      <c r="T40" s="34"/>
    </row>
    <row r="41" spans="1:20" x14ac:dyDescent="0.35">
      <c r="A41" s="112">
        <v>21</v>
      </c>
      <c r="B41" s="6" t="s">
        <v>26</v>
      </c>
      <c r="C41" s="6">
        <v>2</v>
      </c>
      <c r="D41" s="6">
        <v>0</v>
      </c>
      <c r="E41" s="38">
        <v>125</v>
      </c>
      <c r="F41" s="1">
        <v>127</v>
      </c>
      <c r="H41" s="7">
        <v>168</v>
      </c>
      <c r="I41" s="7">
        <v>0</v>
      </c>
      <c r="J41" s="7">
        <v>158.52000000000001</v>
      </c>
      <c r="K41" s="7">
        <v>158.69999999999999</v>
      </c>
      <c r="M41" s="59" t="s">
        <v>100</v>
      </c>
      <c r="N41" s="34">
        <v>1144.34114</v>
      </c>
      <c r="O41" s="34">
        <v>1145.66759</v>
      </c>
      <c r="Q41" s="59" t="s">
        <v>100</v>
      </c>
      <c r="R41" s="34">
        <v>7115.3</v>
      </c>
      <c r="S41" s="34">
        <v>7118.28</v>
      </c>
      <c r="T41" s="34"/>
    </row>
    <row r="42" spans="1:20" x14ac:dyDescent="0.35">
      <c r="A42" s="112">
        <v>22</v>
      </c>
      <c r="B42" s="6" t="s">
        <v>27</v>
      </c>
      <c r="C42" s="6">
        <v>1</v>
      </c>
      <c r="D42" s="6">
        <v>0</v>
      </c>
      <c r="E42" s="38">
        <v>32</v>
      </c>
      <c r="F42" s="1">
        <v>33</v>
      </c>
      <c r="H42" s="7">
        <v>136</v>
      </c>
      <c r="I42" s="7">
        <v>0</v>
      </c>
      <c r="J42" s="7">
        <v>146</v>
      </c>
      <c r="K42" s="7">
        <v>145.6</v>
      </c>
      <c r="M42" s="59" t="s">
        <v>100</v>
      </c>
      <c r="N42" s="34">
        <v>523.51080000000002</v>
      </c>
      <c r="O42" s="34">
        <v>522.48859000000004</v>
      </c>
      <c r="Q42" s="59" t="s">
        <v>100</v>
      </c>
      <c r="R42" s="34">
        <v>4953.17</v>
      </c>
      <c r="S42" s="34">
        <v>4897.66</v>
      </c>
      <c r="T42" s="34"/>
    </row>
    <row r="43" spans="1:20" x14ac:dyDescent="0.35">
      <c r="A43" s="112">
        <v>23</v>
      </c>
      <c r="B43" s="6" t="s">
        <v>28</v>
      </c>
      <c r="C43" s="6">
        <v>10</v>
      </c>
      <c r="D43" s="6">
        <v>0</v>
      </c>
      <c r="E43" s="38">
        <v>177</v>
      </c>
      <c r="F43" s="1">
        <v>187</v>
      </c>
      <c r="H43" s="7">
        <v>147.19999999999999</v>
      </c>
      <c r="I43" s="7">
        <v>0</v>
      </c>
      <c r="J43" s="7">
        <v>111.11</v>
      </c>
      <c r="K43" s="7">
        <v>113.41</v>
      </c>
      <c r="M43" s="34">
        <v>1502.2618</v>
      </c>
      <c r="N43" s="34">
        <v>760.35559999999998</v>
      </c>
      <c r="O43" s="34">
        <v>814.90753000000007</v>
      </c>
      <c r="Q43" s="34">
        <v>10090.219999999999</v>
      </c>
      <c r="R43" s="34">
        <v>6874.21</v>
      </c>
      <c r="S43" s="34">
        <v>7110.68</v>
      </c>
      <c r="T43" s="34"/>
    </row>
    <row r="44" spans="1:20" x14ac:dyDescent="0.35">
      <c r="A44" s="112">
        <v>24</v>
      </c>
      <c r="B44" s="6" t="s">
        <v>29</v>
      </c>
      <c r="C44" s="6">
        <v>4</v>
      </c>
      <c r="D44" s="6">
        <v>0</v>
      </c>
      <c r="E44" s="38">
        <v>137</v>
      </c>
      <c r="F44" s="1">
        <v>141</v>
      </c>
      <c r="H44" s="7">
        <v>153.5</v>
      </c>
      <c r="I44" s="7">
        <v>0</v>
      </c>
      <c r="J44" s="7">
        <v>145.85</v>
      </c>
      <c r="K44" s="7">
        <v>146.09</v>
      </c>
      <c r="M44" s="34">
        <v>603.18393000000003</v>
      </c>
      <c r="N44" s="34">
        <v>1024.8946899999999</v>
      </c>
      <c r="O44" s="34">
        <v>1010.7195400000001</v>
      </c>
      <c r="Q44" s="34">
        <v>4064.43</v>
      </c>
      <c r="R44" s="34">
        <v>7140.09</v>
      </c>
      <c r="S44" s="34">
        <v>7036.71</v>
      </c>
      <c r="T44" s="34"/>
    </row>
    <row r="45" spans="1:20" x14ac:dyDescent="0.35">
      <c r="A45" s="112">
        <v>25</v>
      </c>
      <c r="B45" s="6" t="s">
        <v>30</v>
      </c>
      <c r="C45" s="6">
        <v>10</v>
      </c>
      <c r="D45" s="6">
        <v>0</v>
      </c>
      <c r="E45" s="38">
        <v>212</v>
      </c>
      <c r="F45" s="1">
        <v>222</v>
      </c>
      <c r="H45" s="7">
        <v>106.88</v>
      </c>
      <c r="I45" s="7">
        <v>0</v>
      </c>
      <c r="J45" s="7">
        <v>127.48</v>
      </c>
      <c r="K45" s="7">
        <v>126.66</v>
      </c>
      <c r="M45" s="34">
        <v>468.12511999999998</v>
      </c>
      <c r="N45" s="34">
        <v>812.69866999999999</v>
      </c>
      <c r="O45" s="34">
        <v>798.84646999999995</v>
      </c>
      <c r="Q45" s="34">
        <v>4475.97</v>
      </c>
      <c r="R45" s="34">
        <v>6434.33</v>
      </c>
      <c r="S45" s="34">
        <v>6355.6</v>
      </c>
      <c r="T45" s="34"/>
    </row>
    <row r="46" spans="1:20" x14ac:dyDescent="0.35">
      <c r="A46" s="112">
        <v>26</v>
      </c>
      <c r="B46" s="6" t="s">
        <v>31</v>
      </c>
      <c r="C46" s="6">
        <v>26</v>
      </c>
      <c r="D46" s="6">
        <v>0</v>
      </c>
      <c r="E46" s="38">
        <v>483</v>
      </c>
      <c r="F46" s="1">
        <v>509</v>
      </c>
      <c r="H46" s="7">
        <v>130.37</v>
      </c>
      <c r="I46" s="7">
        <v>0</v>
      </c>
      <c r="J46" s="7">
        <v>141.25</v>
      </c>
      <c r="K46" s="7">
        <v>140.79</v>
      </c>
      <c r="M46" s="34">
        <v>1052.9482399999999</v>
      </c>
      <c r="N46" s="34">
        <v>919.58663000000001</v>
      </c>
      <c r="O46" s="34">
        <v>925.18016</v>
      </c>
      <c r="Q46" s="34">
        <v>7954.25</v>
      </c>
      <c r="R46" s="34">
        <v>6530.07</v>
      </c>
      <c r="S46" s="34">
        <v>6589.8</v>
      </c>
      <c r="T46" s="34"/>
    </row>
    <row r="47" spans="1:20" x14ac:dyDescent="0.35">
      <c r="A47" s="112">
        <v>27</v>
      </c>
      <c r="B47" s="6" t="s">
        <v>32</v>
      </c>
      <c r="C47" s="6">
        <v>15</v>
      </c>
      <c r="D47" s="6">
        <v>0</v>
      </c>
      <c r="E47" s="38">
        <v>271</v>
      </c>
      <c r="F47" s="1">
        <v>286</v>
      </c>
      <c r="H47" s="7">
        <v>95.86</v>
      </c>
      <c r="I47" s="7">
        <v>0</v>
      </c>
      <c r="J47" s="7">
        <v>104.33</v>
      </c>
      <c r="K47" s="7">
        <v>103.89</v>
      </c>
      <c r="M47" s="34">
        <v>451.79134999999997</v>
      </c>
      <c r="N47" s="34">
        <v>576.84406999999999</v>
      </c>
      <c r="O47" s="34">
        <v>570.21249</v>
      </c>
      <c r="Q47" s="34">
        <v>4832.0600000000004</v>
      </c>
      <c r="R47" s="34">
        <v>5586.94</v>
      </c>
      <c r="S47" s="34">
        <v>5546.91</v>
      </c>
      <c r="T47" s="34"/>
    </row>
    <row r="48" spans="1:20" x14ac:dyDescent="0.35">
      <c r="A48" s="112">
        <v>28</v>
      </c>
      <c r="B48" s="6" t="s">
        <v>33</v>
      </c>
      <c r="C48" s="6">
        <v>37</v>
      </c>
      <c r="D48" s="6">
        <v>3</v>
      </c>
      <c r="E48" s="38">
        <v>88</v>
      </c>
      <c r="F48" s="1">
        <v>128</v>
      </c>
      <c r="H48" s="7">
        <v>100.28</v>
      </c>
      <c r="I48" s="7">
        <v>72</v>
      </c>
      <c r="J48" s="7">
        <v>81.94</v>
      </c>
      <c r="K48" s="7">
        <v>86.96</v>
      </c>
      <c r="M48" s="34">
        <v>387.16250000000002</v>
      </c>
      <c r="N48" s="34">
        <v>378.56210999999996</v>
      </c>
      <c r="O48" s="34">
        <v>381.18317999999999</v>
      </c>
      <c r="Q48" s="34">
        <v>4113.17</v>
      </c>
      <c r="R48" s="34">
        <v>4815.32</v>
      </c>
      <c r="S48" s="34">
        <v>4601.33</v>
      </c>
      <c r="T48" s="34"/>
    </row>
    <row r="49" spans="1:20" x14ac:dyDescent="0.35">
      <c r="A49" s="112">
        <v>29</v>
      </c>
      <c r="B49" s="6" t="s">
        <v>34</v>
      </c>
      <c r="C49" s="6">
        <v>15</v>
      </c>
      <c r="D49" s="6">
        <v>1</v>
      </c>
      <c r="E49" s="38">
        <v>48</v>
      </c>
      <c r="F49" s="1">
        <v>64</v>
      </c>
      <c r="H49" s="7">
        <v>59.27</v>
      </c>
      <c r="I49" s="7">
        <v>58</v>
      </c>
      <c r="J49" s="7">
        <v>73.88</v>
      </c>
      <c r="K49" s="7">
        <v>69.83</v>
      </c>
      <c r="M49" s="34">
        <v>211.00006999999999</v>
      </c>
      <c r="N49" s="34">
        <v>288.00885</v>
      </c>
      <c r="O49" s="34">
        <v>267.00646</v>
      </c>
      <c r="Q49" s="34">
        <v>3543.71</v>
      </c>
      <c r="R49" s="34">
        <v>3874.2</v>
      </c>
      <c r="S49" s="34">
        <v>3784.07</v>
      </c>
      <c r="T49" s="34"/>
    </row>
    <row r="50" spans="1:20" x14ac:dyDescent="0.35">
      <c r="A50" s="112">
        <v>30</v>
      </c>
      <c r="B50" s="6" t="s">
        <v>35</v>
      </c>
      <c r="C50" s="6">
        <v>1</v>
      </c>
      <c r="D50" s="6">
        <v>0</v>
      </c>
      <c r="E50" s="38">
        <v>99</v>
      </c>
      <c r="F50" s="1">
        <v>100</v>
      </c>
      <c r="H50" s="7">
        <v>39</v>
      </c>
      <c r="I50" s="7">
        <v>0</v>
      </c>
      <c r="J50" s="7">
        <v>83.58</v>
      </c>
      <c r="K50" s="7">
        <v>83.11</v>
      </c>
      <c r="M50" s="59" t="s">
        <v>100</v>
      </c>
      <c r="N50" s="34">
        <v>388.75810999999999</v>
      </c>
      <c r="O50" s="34">
        <v>387.11174999999997</v>
      </c>
      <c r="Q50" s="59" t="s">
        <v>100</v>
      </c>
      <c r="R50" s="34">
        <v>4572.8599999999997</v>
      </c>
      <c r="S50" s="34">
        <v>4588.04</v>
      </c>
      <c r="T50" s="34"/>
    </row>
    <row r="51" spans="1:20" x14ac:dyDescent="0.35">
      <c r="A51" s="112">
        <v>31</v>
      </c>
      <c r="B51" s="6" t="s">
        <v>36</v>
      </c>
      <c r="C51" s="6">
        <v>6</v>
      </c>
      <c r="D51" s="6">
        <v>0</v>
      </c>
      <c r="E51" s="38">
        <v>489</v>
      </c>
      <c r="F51" s="1">
        <v>495</v>
      </c>
      <c r="H51" s="7">
        <v>71.33</v>
      </c>
      <c r="I51" s="7">
        <v>0</v>
      </c>
      <c r="J51" s="7">
        <v>79.319999999999993</v>
      </c>
      <c r="K51" s="7">
        <v>79.27</v>
      </c>
      <c r="M51" s="34">
        <v>521.66732999999999</v>
      </c>
      <c r="N51" s="34">
        <v>427.90519</v>
      </c>
      <c r="O51" s="34">
        <v>428.53447</v>
      </c>
      <c r="Q51" s="34">
        <v>6924.28</v>
      </c>
      <c r="R51" s="34">
        <v>5458.79</v>
      </c>
      <c r="S51" s="34">
        <v>5468.63</v>
      </c>
      <c r="T51" s="34"/>
    </row>
    <row r="52" spans="1:20" x14ac:dyDescent="0.35">
      <c r="A52" s="112">
        <v>32</v>
      </c>
      <c r="B52" s="6" t="s">
        <v>37</v>
      </c>
      <c r="C52" s="6">
        <v>2</v>
      </c>
      <c r="D52" s="6">
        <v>0</v>
      </c>
      <c r="E52" s="38">
        <v>292</v>
      </c>
      <c r="F52" s="1">
        <v>294</v>
      </c>
      <c r="H52" s="7">
        <v>68</v>
      </c>
      <c r="I52" s="7">
        <v>0</v>
      </c>
      <c r="J52" s="7">
        <v>76.62</v>
      </c>
      <c r="K52" s="7">
        <v>76.55</v>
      </c>
      <c r="M52" s="59" t="s">
        <v>100</v>
      </c>
      <c r="N52" s="34">
        <v>390.76153999999997</v>
      </c>
      <c r="O52" s="34">
        <v>390.69725</v>
      </c>
      <c r="Q52" s="59" t="s">
        <v>100</v>
      </c>
      <c r="R52" s="34">
        <v>5228.42</v>
      </c>
      <c r="S52" s="34">
        <v>5231.51</v>
      </c>
      <c r="T52" s="34"/>
    </row>
    <row r="53" spans="1:20" x14ac:dyDescent="0.35">
      <c r="A53" s="112">
        <v>33</v>
      </c>
      <c r="B53" s="6" t="s">
        <v>38</v>
      </c>
      <c r="C53" s="6">
        <v>3</v>
      </c>
      <c r="D53" s="6">
        <v>0</v>
      </c>
      <c r="E53" s="38">
        <v>191</v>
      </c>
      <c r="F53" s="1">
        <v>194</v>
      </c>
      <c r="H53" s="7">
        <v>54.33</v>
      </c>
      <c r="I53" s="7">
        <v>0</v>
      </c>
      <c r="J53" s="7">
        <v>71.98</v>
      </c>
      <c r="K53" s="7">
        <v>71.680000000000007</v>
      </c>
      <c r="M53" s="34">
        <v>232</v>
      </c>
      <c r="N53" s="34">
        <v>309.33332999999999</v>
      </c>
      <c r="O53" s="34">
        <v>308.00761999999997</v>
      </c>
      <c r="Q53" s="34">
        <v>4318.3500000000004</v>
      </c>
      <c r="R53" s="34">
        <v>4340.3100000000004</v>
      </c>
      <c r="S53" s="34">
        <v>4339.93</v>
      </c>
      <c r="T53" s="34"/>
    </row>
    <row r="54" spans="1:20" x14ac:dyDescent="0.35">
      <c r="A54" s="112">
        <v>34</v>
      </c>
      <c r="B54" s="6" t="s">
        <v>39</v>
      </c>
      <c r="C54" s="6">
        <v>0</v>
      </c>
      <c r="D54" s="6">
        <v>0</v>
      </c>
      <c r="E54" s="38">
        <v>79</v>
      </c>
      <c r="F54" s="1">
        <v>79</v>
      </c>
      <c r="H54" s="7">
        <v>0</v>
      </c>
      <c r="I54" s="7">
        <v>0</v>
      </c>
      <c r="J54" s="7">
        <v>66.91</v>
      </c>
      <c r="K54" s="7">
        <v>66.91</v>
      </c>
      <c r="M54" s="34">
        <v>0</v>
      </c>
      <c r="N54" s="34">
        <v>246.32659000000001</v>
      </c>
      <c r="O54" s="34">
        <v>246.32659000000001</v>
      </c>
      <c r="Q54" s="34">
        <v>0</v>
      </c>
      <c r="R54" s="34">
        <v>3621.91</v>
      </c>
      <c r="S54" s="34">
        <v>3621.91</v>
      </c>
      <c r="T54" s="34"/>
    </row>
    <row r="55" spans="1:20" x14ac:dyDescent="0.35">
      <c r="A55" s="112">
        <v>35</v>
      </c>
      <c r="B55" s="6" t="s">
        <v>40</v>
      </c>
      <c r="C55" s="6">
        <v>45</v>
      </c>
      <c r="D55" s="6">
        <v>0</v>
      </c>
      <c r="E55" s="38">
        <v>303</v>
      </c>
      <c r="F55" s="1">
        <v>348</v>
      </c>
      <c r="H55" s="7">
        <v>74.28</v>
      </c>
      <c r="I55" s="7">
        <v>0</v>
      </c>
      <c r="J55" s="7">
        <v>72.16</v>
      </c>
      <c r="K55" s="7">
        <v>72.44</v>
      </c>
      <c r="M55" s="34">
        <v>361.78634999999997</v>
      </c>
      <c r="N55" s="34">
        <v>287.11176</v>
      </c>
      <c r="O55" s="34">
        <v>296.87314000000003</v>
      </c>
      <c r="Q55" s="34">
        <v>4847.16</v>
      </c>
      <c r="R55" s="34">
        <v>4056.32</v>
      </c>
      <c r="S55" s="34">
        <v>4159.7</v>
      </c>
      <c r="T55" s="34"/>
    </row>
    <row r="56" spans="1:20" x14ac:dyDescent="0.35">
      <c r="A56" s="112">
        <v>36</v>
      </c>
      <c r="B56" s="6" t="s">
        <v>41</v>
      </c>
      <c r="C56" s="6">
        <v>29</v>
      </c>
      <c r="D56" s="6">
        <v>0</v>
      </c>
      <c r="E56" s="38">
        <v>66</v>
      </c>
      <c r="F56" s="1">
        <v>95</v>
      </c>
      <c r="H56" s="7">
        <v>85.85</v>
      </c>
      <c r="I56" s="7">
        <v>0</v>
      </c>
      <c r="J56" s="7">
        <v>80.63</v>
      </c>
      <c r="K56" s="7">
        <v>82.25</v>
      </c>
      <c r="M56" s="34">
        <v>416.41240999999997</v>
      </c>
      <c r="N56" s="34">
        <v>377.39618999999999</v>
      </c>
      <c r="O56" s="34">
        <v>389.64546999999999</v>
      </c>
      <c r="Q56" s="34">
        <v>5271.54</v>
      </c>
      <c r="R56" s="34">
        <v>4602.53</v>
      </c>
      <c r="S56" s="34">
        <v>4812.57</v>
      </c>
      <c r="T56" s="34"/>
    </row>
    <row r="57" spans="1:20" x14ac:dyDescent="0.35">
      <c r="A57" s="112">
        <v>37</v>
      </c>
      <c r="B57" s="6" t="s">
        <v>42</v>
      </c>
      <c r="C57" s="6">
        <v>84</v>
      </c>
      <c r="D57" s="6">
        <v>6</v>
      </c>
      <c r="E57" s="38">
        <v>254</v>
      </c>
      <c r="F57" s="1">
        <v>344</v>
      </c>
      <c r="H57" s="7">
        <v>63.73</v>
      </c>
      <c r="I57" s="7">
        <v>69.400000000000006</v>
      </c>
      <c r="J57" s="7">
        <v>62.5</v>
      </c>
      <c r="K57" s="7">
        <v>62.91</v>
      </c>
      <c r="M57" s="34">
        <v>192.84248000000002</v>
      </c>
      <c r="N57" s="34">
        <v>184.63586999999998</v>
      </c>
      <c r="O57" s="34">
        <v>186.78139000000002</v>
      </c>
      <c r="Q57" s="34">
        <v>3082.48</v>
      </c>
      <c r="R57" s="34">
        <v>3022.25</v>
      </c>
      <c r="S57" s="34">
        <v>3038</v>
      </c>
      <c r="T57" s="34"/>
    </row>
    <row r="58" spans="1:20" x14ac:dyDescent="0.35">
      <c r="A58" s="112">
        <v>38</v>
      </c>
      <c r="B58" s="6" t="s">
        <v>43</v>
      </c>
      <c r="C58" s="6">
        <v>57</v>
      </c>
      <c r="D58" s="6">
        <v>0</v>
      </c>
      <c r="E58" s="38">
        <v>104</v>
      </c>
      <c r="F58" s="1">
        <v>161</v>
      </c>
      <c r="H58" s="7">
        <v>57.51</v>
      </c>
      <c r="I58" s="7">
        <v>0</v>
      </c>
      <c r="J58" s="7">
        <v>60.6</v>
      </c>
      <c r="K58" s="7">
        <v>59.52</v>
      </c>
      <c r="M58" s="34">
        <v>151.10377</v>
      </c>
      <c r="N58" s="34">
        <v>207.92207999999999</v>
      </c>
      <c r="O58" s="34">
        <v>187.84628000000001</v>
      </c>
      <c r="Q58" s="34">
        <v>2585.85</v>
      </c>
      <c r="R58" s="34">
        <v>3479.39</v>
      </c>
      <c r="S58" s="34">
        <v>3163.67</v>
      </c>
      <c r="T58" s="34"/>
    </row>
    <row r="59" spans="1:20" x14ac:dyDescent="0.35">
      <c r="A59" s="112">
        <v>39</v>
      </c>
      <c r="B59" s="6" t="s">
        <v>44</v>
      </c>
      <c r="C59" s="6">
        <v>22</v>
      </c>
      <c r="D59" s="6">
        <v>0</v>
      </c>
      <c r="E59" s="38">
        <v>43</v>
      </c>
      <c r="F59" s="1">
        <v>65</v>
      </c>
      <c r="H59" s="7">
        <v>66.25</v>
      </c>
      <c r="I59" s="7">
        <v>0</v>
      </c>
      <c r="J59" s="7">
        <v>78.23</v>
      </c>
      <c r="K59" s="7">
        <v>74.430000000000007</v>
      </c>
      <c r="M59" s="34">
        <v>167.77500000000001</v>
      </c>
      <c r="N59" s="34">
        <v>229.42703</v>
      </c>
      <c r="O59" s="34">
        <v>209.53927999999999</v>
      </c>
      <c r="Q59" s="34">
        <v>2505.0300000000002</v>
      </c>
      <c r="R59" s="34">
        <v>2858.19</v>
      </c>
      <c r="S59" s="34">
        <v>2744.27</v>
      </c>
      <c r="T59" s="34"/>
    </row>
    <row r="60" spans="1:20" x14ac:dyDescent="0.35">
      <c r="A60" s="112">
        <v>40</v>
      </c>
      <c r="B60" s="6" t="s">
        <v>45</v>
      </c>
      <c r="C60" s="6">
        <v>13</v>
      </c>
      <c r="D60" s="6">
        <v>2</v>
      </c>
      <c r="E60" s="38">
        <v>26</v>
      </c>
      <c r="F60" s="1">
        <v>41</v>
      </c>
      <c r="H60" s="7">
        <v>64.3</v>
      </c>
      <c r="I60" s="7">
        <v>59</v>
      </c>
      <c r="J60" s="7">
        <v>65.2</v>
      </c>
      <c r="K60" s="7">
        <v>64.78</v>
      </c>
      <c r="M60" s="34">
        <v>179.91</v>
      </c>
      <c r="N60" s="34">
        <v>210.19048000000001</v>
      </c>
      <c r="O60" s="34">
        <v>200.42257999999998</v>
      </c>
      <c r="Q60" s="34">
        <v>2930.5</v>
      </c>
      <c r="R60" s="34">
        <v>3354.15</v>
      </c>
      <c r="S60" s="34">
        <v>3217.49</v>
      </c>
      <c r="T60" s="34"/>
    </row>
    <row r="61" spans="1:20" x14ac:dyDescent="0.35">
      <c r="A61" s="112">
        <v>41</v>
      </c>
      <c r="B61" s="6" t="s">
        <v>46</v>
      </c>
      <c r="C61" s="6">
        <v>6</v>
      </c>
      <c r="D61" s="6">
        <v>1</v>
      </c>
      <c r="E61" s="38">
        <v>15</v>
      </c>
      <c r="F61" s="1">
        <v>22</v>
      </c>
      <c r="H61" s="7">
        <v>53.83</v>
      </c>
      <c r="I61" s="7">
        <v>64</v>
      </c>
      <c r="J61" s="7">
        <v>61.67</v>
      </c>
      <c r="K61" s="7">
        <v>59.64</v>
      </c>
      <c r="M61" s="34">
        <v>232.02153000000001</v>
      </c>
      <c r="N61" s="34">
        <v>299.06666999999999</v>
      </c>
      <c r="O61" s="34">
        <v>279.91091999999998</v>
      </c>
      <c r="Q61" s="34">
        <v>4546.54</v>
      </c>
      <c r="R61" s="34">
        <v>4964.05</v>
      </c>
      <c r="S61" s="34">
        <v>4844.76</v>
      </c>
      <c r="T61" s="34"/>
    </row>
    <row r="62" spans="1:20" x14ac:dyDescent="0.35">
      <c r="A62" s="112">
        <v>42</v>
      </c>
      <c r="B62" s="6" t="s">
        <v>47</v>
      </c>
      <c r="C62" s="6">
        <v>14</v>
      </c>
      <c r="D62" s="6">
        <v>1</v>
      </c>
      <c r="E62" s="38">
        <v>1</v>
      </c>
      <c r="F62" s="1">
        <v>16</v>
      </c>
      <c r="H62" s="7">
        <v>104.62</v>
      </c>
      <c r="I62" s="7">
        <v>0</v>
      </c>
      <c r="J62" s="7">
        <v>112</v>
      </c>
      <c r="K62" s="7">
        <v>105.15</v>
      </c>
      <c r="M62" s="34">
        <v>486.01961999999997</v>
      </c>
      <c r="N62" s="59" t="s">
        <v>100</v>
      </c>
      <c r="O62" s="34">
        <v>491.30392999999998</v>
      </c>
      <c r="Q62" s="34">
        <v>4656.45</v>
      </c>
      <c r="R62" s="59" t="s">
        <v>100</v>
      </c>
      <c r="S62" s="34">
        <v>4680.99</v>
      </c>
      <c r="T62" s="34"/>
    </row>
    <row r="63" spans="1:20" x14ac:dyDescent="0.35">
      <c r="A63" s="112">
        <v>43</v>
      </c>
      <c r="B63" s="6" t="s">
        <v>48</v>
      </c>
      <c r="C63" s="6">
        <v>92</v>
      </c>
      <c r="D63" s="6">
        <v>17</v>
      </c>
      <c r="E63" s="38">
        <v>165</v>
      </c>
      <c r="F63" s="1">
        <v>274</v>
      </c>
      <c r="H63" s="7">
        <v>75.790000000000006</v>
      </c>
      <c r="I63" s="7">
        <v>68.290000000000006</v>
      </c>
      <c r="J63" s="7">
        <v>67.709999999999994</v>
      </c>
      <c r="K63" s="7">
        <v>70.53</v>
      </c>
      <c r="M63" s="34">
        <v>305.01355999999998</v>
      </c>
      <c r="N63" s="34">
        <v>272.62233000000003</v>
      </c>
      <c r="O63" s="34">
        <v>285.97796</v>
      </c>
      <c r="Q63" s="34">
        <v>3888.48</v>
      </c>
      <c r="R63" s="34">
        <v>3871.71</v>
      </c>
      <c r="S63" s="34">
        <v>3878.62</v>
      </c>
      <c r="T63" s="34"/>
    </row>
    <row r="64" spans="1:20" x14ac:dyDescent="0.35">
      <c r="A64" s="112">
        <v>44</v>
      </c>
      <c r="B64" s="6" t="s">
        <v>49</v>
      </c>
      <c r="C64" s="6">
        <v>9</v>
      </c>
      <c r="D64" s="6">
        <v>0</v>
      </c>
      <c r="E64" s="38">
        <v>164</v>
      </c>
      <c r="F64" s="1">
        <v>173</v>
      </c>
      <c r="H64" s="7">
        <v>70</v>
      </c>
      <c r="I64" s="7">
        <v>0</v>
      </c>
      <c r="J64" s="7">
        <v>72.760000000000005</v>
      </c>
      <c r="K64" s="7">
        <v>72.599999999999994</v>
      </c>
      <c r="M64" s="34">
        <v>281.66656</v>
      </c>
      <c r="N64" s="34">
        <v>262.84987000000001</v>
      </c>
      <c r="O64" s="34">
        <v>263.94245000000001</v>
      </c>
      <c r="Q64" s="34">
        <v>4042.48</v>
      </c>
      <c r="R64" s="34">
        <v>3667.55</v>
      </c>
      <c r="S64" s="34">
        <v>3689.32</v>
      </c>
      <c r="T64" s="34"/>
    </row>
    <row r="65" spans="1:20" x14ac:dyDescent="0.35">
      <c r="A65" s="112">
        <v>45</v>
      </c>
      <c r="B65" s="6" t="s">
        <v>50</v>
      </c>
      <c r="C65" s="6">
        <v>2</v>
      </c>
      <c r="D65" s="6">
        <v>0</v>
      </c>
      <c r="E65" s="38">
        <v>202</v>
      </c>
      <c r="F65" s="1">
        <v>204</v>
      </c>
      <c r="H65" s="7">
        <v>65</v>
      </c>
      <c r="I65" s="7">
        <v>0</v>
      </c>
      <c r="J65" s="7">
        <v>65.540000000000006</v>
      </c>
      <c r="K65" s="7">
        <v>65.53</v>
      </c>
      <c r="M65" s="59" t="s">
        <v>100</v>
      </c>
      <c r="N65" s="34">
        <v>223.26680999999999</v>
      </c>
      <c r="O65" s="34">
        <v>222.93429</v>
      </c>
      <c r="Q65" s="59" t="s">
        <v>100</v>
      </c>
      <c r="R65" s="34">
        <v>3403.75</v>
      </c>
      <c r="S65" s="34">
        <v>3399.01</v>
      </c>
      <c r="T65" s="34"/>
    </row>
    <row r="66" spans="1:20" x14ac:dyDescent="0.35">
      <c r="A66" s="112">
        <v>46</v>
      </c>
      <c r="B66" s="6" t="s">
        <v>51</v>
      </c>
      <c r="C66" s="6">
        <v>1</v>
      </c>
      <c r="D66" s="6">
        <v>0</v>
      </c>
      <c r="E66" s="38">
        <v>199</v>
      </c>
      <c r="F66" s="1">
        <v>200</v>
      </c>
      <c r="H66" s="7">
        <v>76</v>
      </c>
      <c r="I66" s="7">
        <v>0</v>
      </c>
      <c r="J66" s="7">
        <v>62.74</v>
      </c>
      <c r="K66" s="7">
        <v>62.82</v>
      </c>
      <c r="M66" s="59" t="s">
        <v>100</v>
      </c>
      <c r="N66" s="34">
        <v>177.15157000000002</v>
      </c>
      <c r="O66" s="34">
        <v>177.23669000000001</v>
      </c>
      <c r="Q66" s="59" t="s">
        <v>100</v>
      </c>
      <c r="R66" s="34">
        <v>2791.33</v>
      </c>
      <c r="S66" s="34">
        <v>2788.07</v>
      </c>
      <c r="T66" s="34"/>
    </row>
    <row r="67" spans="1:20" x14ac:dyDescent="0.35">
      <c r="A67" s="112">
        <v>47</v>
      </c>
      <c r="B67" s="6" t="s">
        <v>52</v>
      </c>
      <c r="C67" s="6">
        <v>0</v>
      </c>
      <c r="D67" s="6">
        <v>0</v>
      </c>
      <c r="E67" s="38">
        <v>5</v>
      </c>
      <c r="F67" s="1">
        <v>5</v>
      </c>
      <c r="H67" s="7">
        <v>0</v>
      </c>
      <c r="I67" s="7">
        <v>0</v>
      </c>
      <c r="J67" s="7">
        <v>72.67</v>
      </c>
      <c r="K67" s="7">
        <v>72.67</v>
      </c>
      <c r="M67" s="34">
        <v>0</v>
      </c>
      <c r="N67" s="34">
        <v>204.66667000000001</v>
      </c>
      <c r="O67" s="34">
        <v>204.66667000000001</v>
      </c>
      <c r="Q67" s="34">
        <v>0</v>
      </c>
      <c r="R67" s="34">
        <v>2771.56</v>
      </c>
      <c r="S67" s="34">
        <v>2771.56</v>
      </c>
      <c r="T67" s="34"/>
    </row>
    <row r="68" spans="1:20" x14ac:dyDescent="0.35">
      <c r="A68" s="112">
        <v>48</v>
      </c>
      <c r="B68" s="6" t="s">
        <v>53</v>
      </c>
      <c r="C68" s="6">
        <v>0</v>
      </c>
      <c r="D68" s="6">
        <v>0</v>
      </c>
      <c r="E68" s="38">
        <v>102</v>
      </c>
      <c r="F68" s="1">
        <v>102</v>
      </c>
      <c r="H68" s="7">
        <v>0</v>
      </c>
      <c r="I68" s="7">
        <v>0</v>
      </c>
      <c r="J68" s="7">
        <v>73.88</v>
      </c>
      <c r="K68" s="7">
        <v>73.88</v>
      </c>
      <c r="M68" s="34">
        <v>0</v>
      </c>
      <c r="N68" s="34">
        <v>235.2756</v>
      </c>
      <c r="O68" s="34">
        <v>235.2756</v>
      </c>
      <c r="Q68" s="34">
        <v>0</v>
      </c>
      <c r="R68" s="34">
        <v>3290.37</v>
      </c>
      <c r="S68" s="34">
        <v>3290.37</v>
      </c>
      <c r="T68" s="34"/>
    </row>
    <row r="69" spans="1:20" x14ac:dyDescent="0.35">
      <c r="A69" s="112">
        <v>49</v>
      </c>
      <c r="B69" s="6" t="s">
        <v>54</v>
      </c>
      <c r="C69" s="6">
        <v>0</v>
      </c>
      <c r="D69" s="6">
        <v>0</v>
      </c>
      <c r="E69" s="38">
        <v>42</v>
      </c>
      <c r="F69" s="1">
        <v>42</v>
      </c>
      <c r="H69" s="7">
        <v>0</v>
      </c>
      <c r="I69" s="7">
        <v>0</v>
      </c>
      <c r="J69" s="7">
        <v>69.44</v>
      </c>
      <c r="K69" s="7">
        <v>69.44</v>
      </c>
      <c r="M69" s="34">
        <v>0</v>
      </c>
      <c r="N69" s="34">
        <v>212.93799999999999</v>
      </c>
      <c r="O69" s="34">
        <v>212.93799999999999</v>
      </c>
      <c r="Q69" s="34">
        <v>0</v>
      </c>
      <c r="R69" s="34">
        <v>3116.55</v>
      </c>
      <c r="S69" s="34">
        <v>3116.55</v>
      </c>
      <c r="T69" s="34"/>
    </row>
    <row r="70" spans="1:20" x14ac:dyDescent="0.35">
      <c r="A70" s="112">
        <v>50</v>
      </c>
      <c r="B70" s="6" t="s">
        <v>55</v>
      </c>
      <c r="C70" s="6">
        <v>1</v>
      </c>
      <c r="D70" s="6">
        <v>0</v>
      </c>
      <c r="E70" s="38">
        <v>223</v>
      </c>
      <c r="F70" s="1">
        <v>224</v>
      </c>
      <c r="H70" s="7">
        <v>220</v>
      </c>
      <c r="I70" s="7">
        <v>0</v>
      </c>
      <c r="J70" s="7">
        <v>60.42</v>
      </c>
      <c r="K70" s="7">
        <v>61.21</v>
      </c>
      <c r="M70" s="59" t="s">
        <v>100</v>
      </c>
      <c r="N70" s="34">
        <v>141.41819000000001</v>
      </c>
      <c r="O70" s="34">
        <v>142.6275</v>
      </c>
      <c r="Q70" s="59" t="s">
        <v>100</v>
      </c>
      <c r="R70" s="34">
        <v>2468.0100000000002</v>
      </c>
      <c r="S70" s="34">
        <v>2459.14</v>
      </c>
      <c r="T70" s="34"/>
    </row>
    <row r="71" spans="1:20" x14ac:dyDescent="0.35">
      <c r="A71" s="112">
        <v>51</v>
      </c>
      <c r="B71" s="6" t="s">
        <v>56</v>
      </c>
      <c r="C71" s="6">
        <v>1</v>
      </c>
      <c r="D71" s="6">
        <v>0</v>
      </c>
      <c r="E71" s="38">
        <v>160</v>
      </c>
      <c r="F71" s="1">
        <v>161</v>
      </c>
      <c r="H71" s="7">
        <v>68</v>
      </c>
      <c r="I71" s="7">
        <v>0</v>
      </c>
      <c r="J71" s="7">
        <v>56.35</v>
      </c>
      <c r="K71" s="7">
        <v>56.43</v>
      </c>
      <c r="M71" s="59" t="s">
        <v>100</v>
      </c>
      <c r="N71" s="34">
        <v>157.28813</v>
      </c>
      <c r="O71" s="34">
        <v>157.32160999999999</v>
      </c>
      <c r="Q71" s="59" t="s">
        <v>100</v>
      </c>
      <c r="R71" s="34">
        <v>2887.86</v>
      </c>
      <c r="S71" s="34">
        <v>2881.26</v>
      </c>
      <c r="T71" s="34"/>
    </row>
    <row r="72" spans="1:20" x14ac:dyDescent="0.35">
      <c r="A72" s="112">
        <v>52</v>
      </c>
      <c r="B72" s="6" t="s">
        <v>57</v>
      </c>
      <c r="C72" s="6">
        <v>4</v>
      </c>
      <c r="D72" s="6">
        <v>0</v>
      </c>
      <c r="E72" s="38">
        <v>259</v>
      </c>
      <c r="F72" s="1">
        <v>263</v>
      </c>
      <c r="H72" s="7">
        <v>96.33</v>
      </c>
      <c r="I72" s="7">
        <v>0</v>
      </c>
      <c r="J72" s="7">
        <v>61.24</v>
      </c>
      <c r="K72" s="7">
        <v>61.68</v>
      </c>
      <c r="M72" s="34">
        <v>275.43333000000001</v>
      </c>
      <c r="N72" s="34">
        <v>186.66857999999999</v>
      </c>
      <c r="O72" s="34">
        <v>187.84687</v>
      </c>
      <c r="Q72" s="34">
        <v>3539.46</v>
      </c>
      <c r="R72" s="34">
        <v>3098.66</v>
      </c>
      <c r="S72" s="34">
        <v>3104.51</v>
      </c>
      <c r="T72" s="34"/>
    </row>
    <row r="73" spans="1:20" x14ac:dyDescent="0.35">
      <c r="A73" s="112">
        <v>53</v>
      </c>
      <c r="B73" s="6" t="s">
        <v>58</v>
      </c>
      <c r="C73" s="6">
        <v>0</v>
      </c>
      <c r="D73" s="6">
        <v>0</v>
      </c>
      <c r="E73" s="38">
        <v>109</v>
      </c>
      <c r="F73" s="1">
        <v>109</v>
      </c>
      <c r="H73" s="7">
        <v>0</v>
      </c>
      <c r="I73" s="7">
        <v>0</v>
      </c>
      <c r="J73" s="7">
        <v>62.17</v>
      </c>
      <c r="K73" s="7">
        <v>62.17</v>
      </c>
      <c r="M73" s="34">
        <v>0</v>
      </c>
      <c r="N73" s="34">
        <v>141.53764000000001</v>
      </c>
      <c r="O73" s="34">
        <v>141.53764000000001</v>
      </c>
      <c r="Q73" s="34">
        <v>0</v>
      </c>
      <c r="R73" s="34">
        <v>2374.25</v>
      </c>
      <c r="S73" s="34">
        <v>2374.25</v>
      </c>
      <c r="T73" s="34"/>
    </row>
    <row r="74" spans="1:20" x14ac:dyDescent="0.35">
      <c r="A74" s="112">
        <v>54</v>
      </c>
      <c r="B74" s="6" t="s">
        <v>59</v>
      </c>
      <c r="C74" s="6">
        <v>0</v>
      </c>
      <c r="D74" s="6">
        <v>0</v>
      </c>
      <c r="E74" s="38">
        <v>20</v>
      </c>
      <c r="F74" s="1">
        <v>20</v>
      </c>
      <c r="H74" s="7">
        <v>0</v>
      </c>
      <c r="I74" s="7">
        <v>0</v>
      </c>
      <c r="J74" s="7">
        <v>96.79</v>
      </c>
      <c r="K74" s="7">
        <v>96.79</v>
      </c>
      <c r="M74" s="34">
        <v>0</v>
      </c>
      <c r="N74" s="34">
        <v>147.58613</v>
      </c>
      <c r="O74" s="34">
        <v>147.58613</v>
      </c>
      <c r="Q74" s="34">
        <v>0</v>
      </c>
      <c r="R74" s="34">
        <v>1779.36</v>
      </c>
      <c r="S74" s="34">
        <v>1779.36</v>
      </c>
      <c r="T74" s="34"/>
    </row>
    <row r="75" spans="1:20" x14ac:dyDescent="0.35">
      <c r="A75" s="112">
        <v>55</v>
      </c>
      <c r="B75" s="6" t="s">
        <v>60</v>
      </c>
      <c r="C75" s="6">
        <v>1</v>
      </c>
      <c r="D75" s="6">
        <v>0</v>
      </c>
      <c r="E75" s="38">
        <v>187</v>
      </c>
      <c r="F75" s="1">
        <v>188</v>
      </c>
      <c r="H75" s="7">
        <v>53</v>
      </c>
      <c r="I75" s="7">
        <v>0</v>
      </c>
      <c r="J75" s="7">
        <v>59.76</v>
      </c>
      <c r="K75" s="7">
        <v>59.71</v>
      </c>
      <c r="M75" s="59" t="s">
        <v>100</v>
      </c>
      <c r="N75" s="34">
        <v>115.10363000000001</v>
      </c>
      <c r="O75" s="34">
        <v>114.80829</v>
      </c>
      <c r="Q75" s="59" t="s">
        <v>100</v>
      </c>
      <c r="R75" s="34">
        <v>1946.23</v>
      </c>
      <c r="S75" s="34">
        <v>1943.31</v>
      </c>
      <c r="T75" s="34"/>
    </row>
    <row r="76" spans="1:20" x14ac:dyDescent="0.35">
      <c r="A76" s="112">
        <v>56</v>
      </c>
      <c r="B76" s="6" t="s">
        <v>78</v>
      </c>
      <c r="C76" s="6">
        <v>0</v>
      </c>
      <c r="D76" s="6">
        <v>0</v>
      </c>
      <c r="E76" s="38">
        <v>8</v>
      </c>
      <c r="F76" s="1">
        <v>8</v>
      </c>
      <c r="H76" s="7">
        <v>0</v>
      </c>
      <c r="I76" s="7">
        <v>0</v>
      </c>
      <c r="J76" s="7">
        <v>80.709999999999994</v>
      </c>
      <c r="K76" s="7">
        <v>80.709999999999994</v>
      </c>
      <c r="M76" s="34">
        <v>0</v>
      </c>
      <c r="N76" s="34">
        <v>216.875</v>
      </c>
      <c r="O76" s="34">
        <v>216.875</v>
      </c>
      <c r="Q76" s="34">
        <v>0</v>
      </c>
      <c r="R76" s="34">
        <v>2631.03</v>
      </c>
      <c r="S76" s="34">
        <v>2631.03</v>
      </c>
      <c r="T76" s="34"/>
    </row>
    <row r="77" spans="1:20" x14ac:dyDescent="0.35">
      <c r="A77" s="112">
        <v>57</v>
      </c>
      <c r="B77" s="6" t="s">
        <v>61</v>
      </c>
      <c r="C77" s="6">
        <v>4</v>
      </c>
      <c r="D77" s="6">
        <v>0</v>
      </c>
      <c r="E77" s="38">
        <v>149</v>
      </c>
      <c r="F77" s="1">
        <v>153</v>
      </c>
      <c r="H77" s="7">
        <v>165</v>
      </c>
      <c r="I77" s="7">
        <v>0</v>
      </c>
      <c r="J77" s="7">
        <v>61.7</v>
      </c>
      <c r="K77" s="7">
        <v>63.85</v>
      </c>
      <c r="M77" s="34">
        <v>363.33332999999999</v>
      </c>
      <c r="N77" s="34">
        <v>132.02091000000001</v>
      </c>
      <c r="O77" s="34">
        <v>137.75593000000001</v>
      </c>
      <c r="Q77" s="34">
        <v>2440.8000000000002</v>
      </c>
      <c r="R77" s="34">
        <v>2244.0700000000002</v>
      </c>
      <c r="S77" s="34">
        <v>2248.9499999999998</v>
      </c>
      <c r="T77" s="34"/>
    </row>
    <row r="78" spans="1:20" x14ac:dyDescent="0.35">
      <c r="A78" s="112">
        <v>58</v>
      </c>
      <c r="B78" s="6" t="s">
        <v>62</v>
      </c>
      <c r="C78" s="6">
        <v>0</v>
      </c>
      <c r="D78" s="6">
        <v>0</v>
      </c>
      <c r="E78" s="38">
        <v>27</v>
      </c>
      <c r="F78" s="1">
        <v>27</v>
      </c>
      <c r="H78" s="7">
        <v>0</v>
      </c>
      <c r="I78" s="7">
        <v>0</v>
      </c>
      <c r="J78" s="7">
        <v>70.63</v>
      </c>
      <c r="K78" s="7">
        <v>70.63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  <c r="T78" s="34"/>
    </row>
    <row r="79" spans="1:20" x14ac:dyDescent="0.35">
      <c r="A79" s="112">
        <v>59</v>
      </c>
      <c r="B79" s="6" t="s">
        <v>63</v>
      </c>
      <c r="C79" s="6">
        <v>9</v>
      </c>
      <c r="D79" s="6">
        <v>1</v>
      </c>
      <c r="E79" s="38">
        <v>134</v>
      </c>
      <c r="F79" s="1">
        <v>144</v>
      </c>
      <c r="H79" s="7">
        <v>93.75</v>
      </c>
      <c r="I79" s="7">
        <v>86</v>
      </c>
      <c r="J79" s="7">
        <v>67.16</v>
      </c>
      <c r="K79" s="7">
        <v>68.88</v>
      </c>
      <c r="M79" s="34">
        <v>185.56733</v>
      </c>
      <c r="N79" s="34">
        <v>179.08929000000001</v>
      </c>
      <c r="O79" s="34">
        <v>179.51407999999998</v>
      </c>
      <c r="Q79" s="34">
        <v>1941.09</v>
      </c>
      <c r="R79" s="34">
        <v>2648.11</v>
      </c>
      <c r="S79" s="34">
        <v>2601.75</v>
      </c>
      <c r="T79" s="34"/>
    </row>
    <row r="80" spans="1:20" x14ac:dyDescent="0.35">
      <c r="A80" s="112">
        <v>60</v>
      </c>
      <c r="B80" s="6" t="s">
        <v>64</v>
      </c>
      <c r="C80" s="6">
        <v>29</v>
      </c>
      <c r="D80" s="6">
        <v>5</v>
      </c>
      <c r="E80" s="38">
        <v>413</v>
      </c>
      <c r="F80" s="1">
        <v>447</v>
      </c>
      <c r="H80" s="7">
        <v>72.680000000000007</v>
      </c>
      <c r="I80" s="7">
        <v>62.2</v>
      </c>
      <c r="J80" s="7">
        <v>74.64</v>
      </c>
      <c r="K80" s="7">
        <v>74.37</v>
      </c>
      <c r="M80" s="34">
        <v>398.86428999999998</v>
      </c>
      <c r="N80" s="34">
        <v>293.70690999999999</v>
      </c>
      <c r="O80" s="34">
        <v>301.25666999999999</v>
      </c>
      <c r="Q80" s="34">
        <v>5815.17</v>
      </c>
      <c r="R80" s="34">
        <v>4006.74</v>
      </c>
      <c r="S80" s="34">
        <v>4136.58</v>
      </c>
      <c r="T80" s="34"/>
    </row>
    <row r="81" spans="1:20" x14ac:dyDescent="0.35">
      <c r="A81" s="112">
        <v>61</v>
      </c>
      <c r="B81" s="6" t="s">
        <v>65</v>
      </c>
      <c r="C81" s="6">
        <v>32</v>
      </c>
      <c r="D81" s="6">
        <v>0</v>
      </c>
      <c r="E81" s="38">
        <v>167</v>
      </c>
      <c r="F81" s="1">
        <v>199</v>
      </c>
      <c r="H81" s="7">
        <v>76.58</v>
      </c>
      <c r="I81" s="7">
        <v>0</v>
      </c>
      <c r="J81" s="7">
        <v>72.94</v>
      </c>
      <c r="K81" s="7">
        <v>73.56</v>
      </c>
      <c r="M81" s="34">
        <v>441.16128999999995</v>
      </c>
      <c r="N81" s="34">
        <v>285.07830000000001</v>
      </c>
      <c r="O81" s="34">
        <v>319.15276</v>
      </c>
      <c r="Q81" s="34">
        <v>5783.02</v>
      </c>
      <c r="R81" s="34">
        <v>3967.78</v>
      </c>
      <c r="S81" s="34">
        <v>4364.0600000000004</v>
      </c>
      <c r="T81" s="34"/>
    </row>
    <row r="82" spans="1:20" x14ac:dyDescent="0.35">
      <c r="A82" s="112">
        <v>62</v>
      </c>
      <c r="B82" s="6" t="s">
        <v>66</v>
      </c>
      <c r="C82" s="6">
        <v>10</v>
      </c>
      <c r="D82" s="6">
        <v>0</v>
      </c>
      <c r="E82" s="38">
        <v>122</v>
      </c>
      <c r="F82" s="1">
        <v>132</v>
      </c>
      <c r="H82" s="7">
        <v>105.89</v>
      </c>
      <c r="I82" s="7">
        <v>0</v>
      </c>
      <c r="J82" s="7">
        <v>70.2</v>
      </c>
      <c r="K82" s="7">
        <v>72.81</v>
      </c>
      <c r="M82" s="34">
        <v>436.84875</v>
      </c>
      <c r="N82" s="34">
        <v>263.16125</v>
      </c>
      <c r="O82" s="34">
        <v>275.34985</v>
      </c>
      <c r="Q82" s="34">
        <v>4372.38</v>
      </c>
      <c r="R82" s="34">
        <v>3786.1</v>
      </c>
      <c r="S82" s="34">
        <v>3827.24</v>
      </c>
      <c r="T82" s="34"/>
    </row>
    <row r="83" spans="1:20" x14ac:dyDescent="0.35">
      <c r="A83" s="112">
        <v>63</v>
      </c>
      <c r="B83" s="1" t="s">
        <v>67</v>
      </c>
      <c r="C83" s="6">
        <v>2</v>
      </c>
      <c r="D83" s="6">
        <v>0</v>
      </c>
      <c r="E83" s="38">
        <v>139</v>
      </c>
      <c r="F83" s="1">
        <v>141</v>
      </c>
      <c r="H83" s="7">
        <v>80</v>
      </c>
      <c r="I83" s="7">
        <v>0</v>
      </c>
      <c r="J83" s="7">
        <v>76.91</v>
      </c>
      <c r="K83" s="7">
        <v>76.930000000000007</v>
      </c>
      <c r="M83" s="59" t="s">
        <v>100</v>
      </c>
      <c r="N83" s="34">
        <v>308.88557000000003</v>
      </c>
      <c r="O83" s="34">
        <v>310.61633</v>
      </c>
      <c r="Q83" s="59" t="s">
        <v>100</v>
      </c>
      <c r="R83" s="34">
        <v>4086.87</v>
      </c>
      <c r="S83" s="34">
        <v>4106.47</v>
      </c>
      <c r="T83" s="34"/>
    </row>
    <row r="84" spans="1:20" x14ac:dyDescent="0.35">
      <c r="A84" s="112">
        <v>64</v>
      </c>
      <c r="B84" s="1" t="s">
        <v>68</v>
      </c>
      <c r="C84" s="6">
        <v>0</v>
      </c>
      <c r="D84" s="6">
        <v>0</v>
      </c>
      <c r="E84" s="38">
        <v>281</v>
      </c>
      <c r="F84" s="1">
        <v>281</v>
      </c>
      <c r="H84" s="7">
        <v>0</v>
      </c>
      <c r="I84" s="7">
        <v>0</v>
      </c>
      <c r="J84" s="7">
        <v>72.400000000000006</v>
      </c>
      <c r="K84" s="7">
        <v>72.400000000000006</v>
      </c>
      <c r="M84" s="34">
        <v>0</v>
      </c>
      <c r="N84" s="34">
        <v>315.57625000000002</v>
      </c>
      <c r="O84" s="34">
        <v>315.57625000000002</v>
      </c>
      <c r="Q84" s="34">
        <v>0</v>
      </c>
      <c r="R84" s="34">
        <v>4514.0200000000004</v>
      </c>
      <c r="S84" s="34">
        <v>4514.0200000000004</v>
      </c>
      <c r="T84" s="34"/>
    </row>
    <row r="85" spans="1:20" x14ac:dyDescent="0.35">
      <c r="A85" s="112">
        <v>65</v>
      </c>
      <c r="B85" s="1" t="s">
        <v>69</v>
      </c>
      <c r="C85" s="6">
        <v>6</v>
      </c>
      <c r="D85" s="6">
        <v>0</v>
      </c>
      <c r="E85" s="38">
        <v>180</v>
      </c>
      <c r="F85" s="1">
        <v>186</v>
      </c>
      <c r="H85" s="7">
        <v>41.25</v>
      </c>
      <c r="I85" s="7">
        <v>0</v>
      </c>
      <c r="J85" s="7">
        <v>72.459999999999994</v>
      </c>
      <c r="K85" s="7">
        <v>71.69</v>
      </c>
      <c r="M85" s="34">
        <v>192.625</v>
      </c>
      <c r="N85" s="34">
        <v>316.27646000000004</v>
      </c>
      <c r="O85" s="34">
        <v>311.89941999999996</v>
      </c>
      <c r="Q85" s="34">
        <v>4937.1000000000004</v>
      </c>
      <c r="R85" s="34">
        <v>4447.97</v>
      </c>
      <c r="S85" s="34">
        <v>4465.28</v>
      </c>
      <c r="T85" s="34"/>
    </row>
    <row r="86" spans="1:20" x14ac:dyDescent="0.35">
      <c r="A86" s="112">
        <v>66</v>
      </c>
      <c r="B86" s="1" t="s">
        <v>70</v>
      </c>
      <c r="C86" s="6">
        <v>3</v>
      </c>
      <c r="D86" s="6">
        <v>2</v>
      </c>
      <c r="E86" s="38">
        <v>115</v>
      </c>
      <c r="F86" s="1">
        <v>120</v>
      </c>
      <c r="H86" s="7">
        <v>68</v>
      </c>
      <c r="I86" s="7">
        <v>56.5</v>
      </c>
      <c r="J86" s="7">
        <v>72.64</v>
      </c>
      <c r="K86" s="7">
        <v>72.31</v>
      </c>
      <c r="M86" s="34">
        <v>330</v>
      </c>
      <c r="N86" s="34">
        <v>365.6748</v>
      </c>
      <c r="O86" s="34">
        <v>365.34751</v>
      </c>
      <c r="Q86" s="34">
        <v>4852.9399999999996</v>
      </c>
      <c r="R86" s="34">
        <v>5114.32</v>
      </c>
      <c r="S86" s="34">
        <v>5111.92</v>
      </c>
      <c r="T86" s="34"/>
    </row>
    <row r="87" spans="1:20" x14ac:dyDescent="0.35">
      <c r="A87" s="112">
        <v>67</v>
      </c>
      <c r="B87" s="1" t="s">
        <v>71</v>
      </c>
      <c r="C87" s="6">
        <v>3</v>
      </c>
      <c r="D87" s="6">
        <v>0</v>
      </c>
      <c r="E87" s="38">
        <v>80</v>
      </c>
      <c r="F87" s="1">
        <v>83</v>
      </c>
      <c r="H87" s="7">
        <v>57.67</v>
      </c>
      <c r="I87" s="7">
        <v>0</v>
      </c>
      <c r="J87" s="7">
        <v>88.77</v>
      </c>
      <c r="K87" s="7">
        <v>87.62</v>
      </c>
      <c r="M87" s="34">
        <v>425.06666999999999</v>
      </c>
      <c r="N87" s="34">
        <v>519.87554999999998</v>
      </c>
      <c r="O87" s="34">
        <v>516.36410999999998</v>
      </c>
      <c r="Q87" s="34">
        <v>7433.26</v>
      </c>
      <c r="R87" s="34">
        <v>5961.72</v>
      </c>
      <c r="S87" s="34">
        <v>6016.22</v>
      </c>
      <c r="T87" s="34"/>
    </row>
    <row r="88" spans="1:20" x14ac:dyDescent="0.35">
      <c r="A88" s="112">
        <v>68</v>
      </c>
      <c r="B88" s="1" t="s">
        <v>72</v>
      </c>
      <c r="C88" s="6">
        <v>53</v>
      </c>
      <c r="D88" s="6">
        <v>1</v>
      </c>
      <c r="E88" s="38">
        <v>305</v>
      </c>
      <c r="F88" s="1">
        <v>359</v>
      </c>
      <c r="H88" s="7">
        <v>77.290000000000006</v>
      </c>
      <c r="I88" s="7">
        <v>83</v>
      </c>
      <c r="J88" s="7">
        <v>73.73</v>
      </c>
      <c r="K88" s="7">
        <v>74.290000000000006</v>
      </c>
      <c r="M88" s="34">
        <v>505.94891999999999</v>
      </c>
      <c r="N88" s="34">
        <v>409.97336000000001</v>
      </c>
      <c r="O88" s="34">
        <v>424.98793999999998</v>
      </c>
      <c r="Q88" s="34">
        <v>6674.67</v>
      </c>
      <c r="R88" s="34">
        <v>5619.96</v>
      </c>
      <c r="S88" s="34">
        <v>5784.96</v>
      </c>
      <c r="T88" s="34"/>
    </row>
    <row r="89" spans="1:20" x14ac:dyDescent="0.35">
      <c r="A89" s="112">
        <v>69</v>
      </c>
      <c r="B89" s="1" t="s">
        <v>73</v>
      </c>
      <c r="C89" s="6">
        <v>75</v>
      </c>
      <c r="D89" s="6">
        <v>5</v>
      </c>
      <c r="E89" s="38">
        <v>128</v>
      </c>
      <c r="F89" s="1">
        <v>208</v>
      </c>
      <c r="H89" s="7">
        <v>64.430000000000007</v>
      </c>
      <c r="I89" s="7">
        <v>71</v>
      </c>
      <c r="J89" s="7">
        <v>100.93</v>
      </c>
      <c r="K89" s="7">
        <v>87.19</v>
      </c>
      <c r="M89" s="34">
        <v>426.94709999999998</v>
      </c>
      <c r="N89" s="34">
        <v>633.65192000000002</v>
      </c>
      <c r="O89" s="34">
        <v>554.90723000000003</v>
      </c>
      <c r="Q89" s="34">
        <v>6593.08</v>
      </c>
      <c r="R89" s="34">
        <v>6181.62</v>
      </c>
      <c r="S89" s="34">
        <v>6338.37</v>
      </c>
      <c r="T89" s="34"/>
    </row>
    <row r="90" spans="1:20" x14ac:dyDescent="0.35">
      <c r="A90" s="112">
        <v>70</v>
      </c>
      <c r="B90" s="1" t="s">
        <v>74</v>
      </c>
      <c r="C90" s="6">
        <v>13</v>
      </c>
      <c r="D90" s="6">
        <v>5</v>
      </c>
      <c r="E90" s="38">
        <v>257</v>
      </c>
      <c r="F90" s="1">
        <v>275</v>
      </c>
      <c r="H90" s="7">
        <v>97.5</v>
      </c>
      <c r="I90" s="7">
        <v>70.599999999999994</v>
      </c>
      <c r="J90" s="7">
        <v>61.77</v>
      </c>
      <c r="K90" s="7">
        <v>63.17</v>
      </c>
      <c r="M90" s="34">
        <v>485.125</v>
      </c>
      <c r="N90" s="34">
        <v>176.08482999999998</v>
      </c>
      <c r="O90" s="34">
        <v>188.08639000000002</v>
      </c>
      <c r="Q90" s="34">
        <v>3846.2</v>
      </c>
      <c r="R90" s="34">
        <v>2570.65</v>
      </c>
      <c r="S90" s="34">
        <v>2620.19</v>
      </c>
      <c r="T90" s="34"/>
    </row>
    <row r="91" spans="1:20" x14ac:dyDescent="0.35">
      <c r="A91" s="112">
        <v>71</v>
      </c>
      <c r="B91" s="1" t="s">
        <v>75</v>
      </c>
      <c r="C91" s="6">
        <v>36</v>
      </c>
      <c r="D91" s="6">
        <v>10</v>
      </c>
      <c r="E91" s="38">
        <v>127</v>
      </c>
      <c r="F91" s="1">
        <v>173</v>
      </c>
      <c r="H91" s="7">
        <v>78.349999999999994</v>
      </c>
      <c r="I91" s="7">
        <v>73.099999999999994</v>
      </c>
      <c r="J91" s="7">
        <v>78.930000000000007</v>
      </c>
      <c r="K91" s="7">
        <v>78.45</v>
      </c>
      <c r="M91" s="34">
        <v>410.40552000000002</v>
      </c>
      <c r="N91" s="34">
        <v>386.93334999999996</v>
      </c>
      <c r="O91" s="34">
        <v>392.67473999999999</v>
      </c>
      <c r="Q91" s="34">
        <v>4860.3</v>
      </c>
      <c r="R91" s="34">
        <v>4853.01</v>
      </c>
      <c r="S91" s="34">
        <v>4854.79</v>
      </c>
      <c r="T91" s="34"/>
    </row>
    <row r="92" spans="1:20" x14ac:dyDescent="0.35">
      <c r="A92" s="112">
        <v>72</v>
      </c>
      <c r="B92" s="1" t="s">
        <v>76</v>
      </c>
      <c r="C92" s="6">
        <v>0</v>
      </c>
      <c r="D92" s="6">
        <v>0</v>
      </c>
      <c r="E92" s="38">
        <v>196</v>
      </c>
      <c r="F92" s="1">
        <v>196</v>
      </c>
      <c r="H92" s="7">
        <v>0</v>
      </c>
      <c r="I92" s="7">
        <v>0</v>
      </c>
      <c r="J92" s="7">
        <v>71.03</v>
      </c>
      <c r="K92" s="7">
        <v>71.03</v>
      </c>
      <c r="M92" s="34">
        <v>0</v>
      </c>
      <c r="N92" s="34">
        <v>240.34326000000001</v>
      </c>
      <c r="O92" s="34">
        <v>240.34326000000001</v>
      </c>
      <c r="Q92" s="34">
        <v>0</v>
      </c>
      <c r="R92" s="34">
        <v>3457.12</v>
      </c>
      <c r="S92" s="34">
        <v>3457.12</v>
      </c>
      <c r="T92" s="34"/>
    </row>
    <row r="93" spans="1:20" x14ac:dyDescent="0.35">
      <c r="A93" s="112">
        <v>73</v>
      </c>
      <c r="B93" s="24" t="s">
        <v>77</v>
      </c>
      <c r="C93" s="27">
        <v>3</v>
      </c>
      <c r="D93" s="27">
        <v>0</v>
      </c>
      <c r="E93" s="39">
        <v>345</v>
      </c>
      <c r="F93" s="24">
        <v>348</v>
      </c>
      <c r="G93" s="24"/>
      <c r="H93" s="25">
        <v>74.67</v>
      </c>
      <c r="I93" s="25">
        <v>0</v>
      </c>
      <c r="J93" s="25">
        <v>71.56</v>
      </c>
      <c r="K93" s="25">
        <v>71.59</v>
      </c>
      <c r="L93" s="25"/>
      <c r="M93" s="37">
        <v>400.66667000000001</v>
      </c>
      <c r="N93" s="37">
        <v>279.05205999999998</v>
      </c>
      <c r="O93" s="37">
        <v>280.42883</v>
      </c>
      <c r="P93" s="37"/>
      <c r="Q93" s="37">
        <v>5255.08</v>
      </c>
      <c r="R93" s="37">
        <v>3938.42</v>
      </c>
      <c r="S93" s="37">
        <v>3953.33</v>
      </c>
      <c r="T93" s="34"/>
    </row>
    <row r="95" spans="1:20" x14ac:dyDescent="0.35">
      <c r="B95" s="114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F19E-4136-45B0-81B6-C2AD5AA4F8CA}">
  <dimension ref="A1:S95"/>
  <sheetViews>
    <sheetView topLeftCell="A3" workbookViewId="0">
      <selection activeCell="R62" sqref="R62"/>
    </sheetView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19" width="10.73046875" style="34" customWidth="1"/>
    <col min="20" max="16384" width="11.3984375" style="1"/>
  </cols>
  <sheetData>
    <row r="1" spans="1:19" ht="13.9" x14ac:dyDescent="0.4">
      <c r="A1" s="2" t="s">
        <v>91</v>
      </c>
    </row>
    <row r="2" spans="1:19" ht="13.15" x14ac:dyDescent="0.4">
      <c r="A2" s="31" t="s">
        <v>105</v>
      </c>
    </row>
    <row r="4" spans="1:19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19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58"/>
      <c r="Q5" s="54" t="s">
        <v>5</v>
      </c>
      <c r="R5" s="54" t="s">
        <v>2</v>
      </c>
      <c r="S5" s="54" t="s">
        <v>3</v>
      </c>
    </row>
    <row r="6" spans="1:19" s="3" customFormat="1" x14ac:dyDescent="0.35">
      <c r="B6" s="103" t="s">
        <v>94</v>
      </c>
      <c r="C6" s="6">
        <v>689</v>
      </c>
      <c r="D6" s="6">
        <v>46</v>
      </c>
      <c r="E6" s="6">
        <v>7465</v>
      </c>
      <c r="F6" s="6">
        <f t="shared" ref="F6" si="0">SUM(C6:E6)</f>
        <v>8200</v>
      </c>
      <c r="G6" s="1"/>
      <c r="H6" s="7">
        <v>78.66</v>
      </c>
      <c r="I6" s="7">
        <v>74.83</v>
      </c>
      <c r="J6" s="7">
        <v>79.22</v>
      </c>
      <c r="K6" s="7">
        <v>79.150000000000006</v>
      </c>
      <c r="L6" s="7"/>
      <c r="M6" s="34">
        <v>427.76704999999998</v>
      </c>
      <c r="N6" s="34">
        <v>385.54528999999997</v>
      </c>
      <c r="O6" s="34">
        <v>389.25976000000003</v>
      </c>
      <c r="P6" s="34"/>
      <c r="Q6" s="34">
        <v>5306.68</v>
      </c>
      <c r="R6" s="34">
        <v>4609.5600000000004</v>
      </c>
      <c r="S6" s="34">
        <v>4670.8900000000003</v>
      </c>
    </row>
    <row r="7" spans="1:19" s="3" customFormat="1" x14ac:dyDescent="0.35">
      <c r="C7" s="38"/>
      <c r="D7" s="38"/>
      <c r="E7" s="38"/>
      <c r="F7" s="38"/>
      <c r="H7" s="105"/>
      <c r="I7" s="105"/>
      <c r="J7" s="105"/>
      <c r="K7" s="105"/>
      <c r="L7" s="106"/>
      <c r="M7" s="107"/>
      <c r="N7" s="107"/>
      <c r="O7" s="107"/>
      <c r="P7" s="108"/>
      <c r="Q7" s="107"/>
      <c r="R7" s="107"/>
      <c r="S7" s="107"/>
    </row>
    <row r="8" spans="1:19" s="3" customFormat="1" x14ac:dyDescent="0.35">
      <c r="B8" s="115" t="s">
        <v>88</v>
      </c>
      <c r="C8" s="38"/>
      <c r="D8" s="38"/>
      <c r="E8" s="38"/>
      <c r="F8" s="38"/>
      <c r="H8" s="105"/>
      <c r="I8" s="105"/>
      <c r="J8" s="105"/>
      <c r="K8" s="105"/>
      <c r="L8" s="106"/>
      <c r="M8" s="107"/>
      <c r="N8" s="107"/>
      <c r="O8" s="107"/>
      <c r="P8" s="108"/>
      <c r="Q8" s="107"/>
      <c r="R8" s="107"/>
      <c r="S8" s="107"/>
    </row>
    <row r="9" spans="1:19" s="3" customFormat="1" x14ac:dyDescent="0.35">
      <c r="A9" s="112">
        <v>1</v>
      </c>
      <c r="B9" s="3" t="s">
        <v>79</v>
      </c>
      <c r="C9" s="38">
        <v>42</v>
      </c>
      <c r="D9" s="38">
        <v>0</v>
      </c>
      <c r="E9" s="38">
        <v>761</v>
      </c>
      <c r="F9" s="38">
        <f t="shared" ref="F9:F18" si="1">SUM(C9:E9)</f>
        <v>803</v>
      </c>
      <c r="H9" s="105">
        <v>51.64</v>
      </c>
      <c r="I9" s="105">
        <v>0</v>
      </c>
      <c r="J9" s="105">
        <v>66.959999999999994</v>
      </c>
      <c r="K9" s="105">
        <v>66.16</v>
      </c>
      <c r="L9" s="106"/>
      <c r="M9" s="107">
        <v>263.03740999999997</v>
      </c>
      <c r="N9" s="107">
        <v>278.06432000000001</v>
      </c>
      <c r="O9" s="107">
        <v>277.27110999999996</v>
      </c>
      <c r="P9" s="108"/>
      <c r="Q9" s="107">
        <v>5069.26</v>
      </c>
      <c r="R9" s="107">
        <v>4256.74</v>
      </c>
      <c r="S9" s="107">
        <v>4299.63</v>
      </c>
    </row>
    <row r="10" spans="1:19" s="3" customFormat="1" x14ac:dyDescent="0.35">
      <c r="A10" s="112">
        <v>2</v>
      </c>
      <c r="B10" s="3" t="s">
        <v>80</v>
      </c>
      <c r="C10" s="38">
        <v>196</v>
      </c>
      <c r="D10" s="38">
        <v>14</v>
      </c>
      <c r="E10" s="38">
        <v>1092</v>
      </c>
      <c r="F10" s="38">
        <f t="shared" si="1"/>
        <v>1302</v>
      </c>
      <c r="H10" s="105">
        <v>91.78</v>
      </c>
      <c r="I10" s="105">
        <v>96</v>
      </c>
      <c r="J10" s="105">
        <v>92.79</v>
      </c>
      <c r="K10" s="105">
        <v>92.67</v>
      </c>
      <c r="L10" s="106"/>
      <c r="M10" s="107">
        <v>587.19024999999999</v>
      </c>
      <c r="N10" s="107">
        <v>531.52687000000003</v>
      </c>
      <c r="O10" s="107">
        <v>539.76019999999994</v>
      </c>
      <c r="P10" s="108"/>
      <c r="Q10" s="107">
        <v>6205.71</v>
      </c>
      <c r="R10" s="107">
        <v>5642.18</v>
      </c>
      <c r="S10" s="107">
        <v>5725.53</v>
      </c>
    </row>
    <row r="11" spans="1:19" s="3" customFormat="1" x14ac:dyDescent="0.35">
      <c r="A11" s="112">
        <v>3</v>
      </c>
      <c r="B11" s="3" t="s">
        <v>81</v>
      </c>
      <c r="C11" s="38">
        <v>95</v>
      </c>
      <c r="D11" s="38">
        <v>8</v>
      </c>
      <c r="E11" s="38">
        <v>851</v>
      </c>
      <c r="F11" s="38">
        <f t="shared" si="1"/>
        <v>954</v>
      </c>
      <c r="H11" s="105">
        <v>71.709999999999994</v>
      </c>
      <c r="I11" s="105">
        <v>65.569999999999993</v>
      </c>
      <c r="J11" s="105">
        <v>65.92</v>
      </c>
      <c r="K11" s="105">
        <v>66.41</v>
      </c>
      <c r="L11" s="106"/>
      <c r="M11" s="107">
        <v>386.14400000000001</v>
      </c>
      <c r="N11" s="107">
        <v>276.64731999999998</v>
      </c>
      <c r="O11" s="107">
        <v>286.62786</v>
      </c>
      <c r="P11" s="108"/>
      <c r="Q11" s="107">
        <v>5441.03</v>
      </c>
      <c r="R11" s="107">
        <v>4291.3900000000003</v>
      </c>
      <c r="S11" s="107">
        <v>4396.18</v>
      </c>
    </row>
    <row r="12" spans="1:19" s="3" customFormat="1" x14ac:dyDescent="0.35">
      <c r="A12" s="112">
        <v>4</v>
      </c>
      <c r="B12" s="3" t="s">
        <v>82</v>
      </c>
      <c r="C12" s="38">
        <v>6</v>
      </c>
      <c r="D12" s="38">
        <v>0</v>
      </c>
      <c r="E12" s="38">
        <v>339</v>
      </c>
      <c r="F12" s="38">
        <f t="shared" si="1"/>
        <v>345</v>
      </c>
      <c r="H12" s="105">
        <v>109.67</v>
      </c>
      <c r="I12" s="105">
        <v>0</v>
      </c>
      <c r="J12" s="105">
        <v>99.7</v>
      </c>
      <c r="K12" s="105">
        <v>99.8</v>
      </c>
      <c r="L12" s="106"/>
      <c r="M12" s="107">
        <v>683.33366000000001</v>
      </c>
      <c r="N12" s="107">
        <v>614.81790000000001</v>
      </c>
      <c r="O12" s="107">
        <v>615.55727999999999</v>
      </c>
      <c r="P12" s="108"/>
      <c r="Q12" s="107">
        <v>6233.13</v>
      </c>
      <c r="R12" s="107">
        <v>5813.22</v>
      </c>
      <c r="S12" s="107">
        <v>5817.75</v>
      </c>
    </row>
    <row r="13" spans="1:19" s="3" customFormat="1" x14ac:dyDescent="0.35">
      <c r="A13" s="112">
        <v>5</v>
      </c>
      <c r="B13" s="3" t="s">
        <v>83</v>
      </c>
      <c r="C13" s="38">
        <v>20</v>
      </c>
      <c r="D13" s="38">
        <v>0</v>
      </c>
      <c r="E13" s="38">
        <v>652</v>
      </c>
      <c r="F13" s="38">
        <f t="shared" si="1"/>
        <v>672</v>
      </c>
      <c r="H13" s="105">
        <v>123.71</v>
      </c>
      <c r="I13" s="105">
        <v>0</v>
      </c>
      <c r="J13" s="105">
        <v>125.12</v>
      </c>
      <c r="K13" s="105">
        <v>125.09</v>
      </c>
      <c r="L13" s="106"/>
      <c r="M13" s="107">
        <v>826.58325000000002</v>
      </c>
      <c r="N13" s="107">
        <v>810.98896999999999</v>
      </c>
      <c r="O13" s="107">
        <v>811.36090000000002</v>
      </c>
      <c r="P13" s="108"/>
      <c r="Q13" s="107">
        <v>5955.92</v>
      </c>
      <c r="R13" s="107">
        <v>6422.44</v>
      </c>
      <c r="S13" s="107">
        <v>6411.31</v>
      </c>
    </row>
    <row r="14" spans="1:19" s="3" customFormat="1" x14ac:dyDescent="0.35">
      <c r="A14" s="112">
        <v>6</v>
      </c>
      <c r="B14" s="3" t="s">
        <v>84</v>
      </c>
      <c r="C14" s="38">
        <v>28</v>
      </c>
      <c r="D14" s="38">
        <v>1</v>
      </c>
      <c r="E14" s="38">
        <v>525</v>
      </c>
      <c r="F14" s="38">
        <f t="shared" si="1"/>
        <v>554</v>
      </c>
      <c r="H14" s="105">
        <v>68.290000000000006</v>
      </c>
      <c r="I14" s="105">
        <v>58</v>
      </c>
      <c r="J14" s="105">
        <v>78.209999999999994</v>
      </c>
      <c r="K14" s="105">
        <v>77.7</v>
      </c>
      <c r="L14" s="106"/>
      <c r="M14" s="107">
        <v>254.58338000000001</v>
      </c>
      <c r="N14" s="107">
        <v>398.40755999999999</v>
      </c>
      <c r="O14" s="107">
        <v>391.50400000000002</v>
      </c>
      <c r="P14" s="108"/>
      <c r="Q14" s="107">
        <v>3969.22</v>
      </c>
      <c r="R14" s="107">
        <v>5179.78</v>
      </c>
      <c r="S14" s="107">
        <v>5121.67</v>
      </c>
    </row>
    <row r="15" spans="1:19" s="3" customFormat="1" x14ac:dyDescent="0.35">
      <c r="A15" s="112">
        <v>7</v>
      </c>
      <c r="B15" s="3" t="s">
        <v>85</v>
      </c>
      <c r="C15" s="38">
        <v>138</v>
      </c>
      <c r="D15" s="38">
        <v>5</v>
      </c>
      <c r="E15" s="38">
        <v>676</v>
      </c>
      <c r="F15" s="38">
        <f t="shared" si="1"/>
        <v>819</v>
      </c>
      <c r="H15" s="105">
        <v>73.680000000000007</v>
      </c>
      <c r="I15" s="105">
        <v>62.4</v>
      </c>
      <c r="J15" s="105">
        <v>69.12</v>
      </c>
      <c r="K15" s="105">
        <v>69.849999999999994</v>
      </c>
      <c r="L15" s="106"/>
      <c r="M15" s="107">
        <v>279.27125000000001</v>
      </c>
      <c r="N15" s="107">
        <v>255.59034</v>
      </c>
      <c r="O15" s="107">
        <v>259.77492000000001</v>
      </c>
      <c r="P15" s="108"/>
      <c r="Q15" s="107">
        <v>3740.29</v>
      </c>
      <c r="R15" s="107">
        <v>3684.56</v>
      </c>
      <c r="S15" s="107">
        <v>3694.41</v>
      </c>
    </row>
    <row r="16" spans="1:19" s="3" customFormat="1" x14ac:dyDescent="0.35">
      <c r="A16" s="112">
        <v>8</v>
      </c>
      <c r="B16" s="3" t="s">
        <v>86</v>
      </c>
      <c r="C16" s="38">
        <v>6</v>
      </c>
      <c r="D16" s="38">
        <v>0</v>
      </c>
      <c r="E16" s="38">
        <v>871</v>
      </c>
      <c r="F16" s="38">
        <f t="shared" si="1"/>
        <v>877</v>
      </c>
      <c r="H16" s="105">
        <v>93</v>
      </c>
      <c r="I16" s="105">
        <v>0</v>
      </c>
      <c r="J16" s="105">
        <v>64.290000000000006</v>
      </c>
      <c r="K16" s="105">
        <v>64.47</v>
      </c>
      <c r="L16" s="106"/>
      <c r="M16" s="107">
        <v>260.66000000000003</v>
      </c>
      <c r="N16" s="107">
        <v>192.21820000000002</v>
      </c>
      <c r="O16" s="107">
        <v>192.79528999999999</v>
      </c>
      <c r="P16" s="108"/>
      <c r="Q16" s="107">
        <v>3551.28</v>
      </c>
      <c r="R16" s="107">
        <v>2990.41</v>
      </c>
      <c r="S16" s="107">
        <v>2995.14</v>
      </c>
    </row>
    <row r="17" spans="1:19" s="3" customFormat="1" x14ac:dyDescent="0.35">
      <c r="A17" s="112">
        <v>9</v>
      </c>
      <c r="B17" s="3" t="s">
        <v>64</v>
      </c>
      <c r="C17" s="38">
        <v>57</v>
      </c>
      <c r="D17" s="38">
        <v>4</v>
      </c>
      <c r="E17" s="38">
        <v>613</v>
      </c>
      <c r="F17" s="38">
        <f t="shared" si="1"/>
        <v>674</v>
      </c>
      <c r="H17" s="105">
        <v>80.16</v>
      </c>
      <c r="I17" s="105">
        <v>66</v>
      </c>
      <c r="J17" s="105">
        <v>72.28</v>
      </c>
      <c r="K17" s="105">
        <v>72.92</v>
      </c>
      <c r="L17" s="106"/>
      <c r="M17" s="107">
        <v>416.57646</v>
      </c>
      <c r="N17" s="107">
        <v>258.84375</v>
      </c>
      <c r="O17" s="107">
        <v>274.13560999999999</v>
      </c>
      <c r="P17" s="108"/>
      <c r="Q17" s="107">
        <v>5466.8</v>
      </c>
      <c r="R17" s="107">
        <v>3605.69</v>
      </c>
      <c r="S17" s="107">
        <v>3786.12</v>
      </c>
    </row>
    <row r="18" spans="1:19" s="3" customFormat="1" x14ac:dyDescent="0.35">
      <c r="A18" s="112">
        <v>10</v>
      </c>
      <c r="B18" s="3" t="s">
        <v>87</v>
      </c>
      <c r="C18" s="38">
        <v>100</v>
      </c>
      <c r="D18" s="38">
        <v>14</v>
      </c>
      <c r="E18" s="38">
        <v>1041</v>
      </c>
      <c r="F18" s="38">
        <f t="shared" si="1"/>
        <v>1155</v>
      </c>
      <c r="H18" s="105">
        <v>71.86</v>
      </c>
      <c r="I18" s="105">
        <v>72.31</v>
      </c>
      <c r="J18" s="105">
        <v>72.98</v>
      </c>
      <c r="K18" s="105">
        <v>72.87</v>
      </c>
      <c r="L18" s="106"/>
      <c r="M18" s="107">
        <v>444.91995000000003</v>
      </c>
      <c r="N18" s="107">
        <v>331.68612999999999</v>
      </c>
      <c r="O18" s="107">
        <v>343.09183000000002</v>
      </c>
      <c r="P18" s="108"/>
      <c r="Q18" s="107">
        <v>6129.96</v>
      </c>
      <c r="R18" s="107">
        <v>4474.08</v>
      </c>
      <c r="S18" s="107">
        <v>4640.88</v>
      </c>
    </row>
    <row r="19" spans="1:19" s="3" customFormat="1" x14ac:dyDescent="0.35">
      <c r="A19" s="112"/>
      <c r="C19" s="38"/>
      <c r="D19" s="38"/>
      <c r="E19" s="38"/>
      <c r="F19" s="38"/>
      <c r="H19" s="105"/>
      <c r="I19" s="105"/>
      <c r="J19" s="105"/>
      <c r="K19" s="105"/>
      <c r="L19" s="106"/>
      <c r="M19" s="107"/>
      <c r="N19" s="107"/>
      <c r="O19" s="107"/>
      <c r="P19" s="108"/>
      <c r="Q19" s="107"/>
      <c r="R19" s="107"/>
      <c r="S19" s="107"/>
    </row>
    <row r="20" spans="1:19" s="3" customFormat="1" x14ac:dyDescent="0.35">
      <c r="A20" s="112"/>
      <c r="B20" s="115" t="s">
        <v>89</v>
      </c>
      <c r="C20" s="38"/>
      <c r="D20" s="38"/>
      <c r="E20" s="38"/>
      <c r="F20" s="38"/>
      <c r="H20" s="105"/>
      <c r="I20" s="105"/>
      <c r="J20" s="105"/>
      <c r="K20" s="105"/>
      <c r="L20" s="106"/>
      <c r="M20" s="107"/>
      <c r="N20" s="107"/>
      <c r="O20" s="107"/>
      <c r="P20" s="108"/>
      <c r="Q20" s="107"/>
      <c r="R20" s="107"/>
      <c r="S20" s="107"/>
    </row>
    <row r="21" spans="1:19" x14ac:dyDescent="0.35">
      <c r="A21" s="112">
        <v>1</v>
      </c>
      <c r="B21" s="6" t="s">
        <v>8</v>
      </c>
      <c r="C21" s="6">
        <v>17</v>
      </c>
      <c r="D21" s="6">
        <v>0</v>
      </c>
      <c r="E21" s="6">
        <v>386</v>
      </c>
      <c r="F21" s="38">
        <f t="shared" ref="F21:F84" si="2">SUM(C21:E21)</f>
        <v>403</v>
      </c>
      <c r="H21" s="7">
        <v>45.59</v>
      </c>
      <c r="I21" s="7">
        <v>0</v>
      </c>
      <c r="J21" s="7">
        <v>63</v>
      </c>
      <c r="K21" s="7">
        <v>62.13</v>
      </c>
      <c r="M21" s="34">
        <v>220.76470999999998</v>
      </c>
      <c r="N21" s="34">
        <v>219.33428000000001</v>
      </c>
      <c r="O21" s="34">
        <v>219.40708999999998</v>
      </c>
      <c r="Q21" s="34">
        <v>4446.62</v>
      </c>
      <c r="R21" s="34">
        <v>3580.91</v>
      </c>
      <c r="S21" s="34">
        <v>3624.97</v>
      </c>
    </row>
    <row r="22" spans="1:19" x14ac:dyDescent="0.35">
      <c r="A22" s="112">
        <v>2</v>
      </c>
      <c r="B22" s="6" t="s">
        <v>9</v>
      </c>
      <c r="C22" s="6">
        <v>7</v>
      </c>
      <c r="D22" s="6">
        <v>0</v>
      </c>
      <c r="E22" s="6">
        <v>129</v>
      </c>
      <c r="F22" s="38">
        <f t="shared" si="2"/>
        <v>136</v>
      </c>
      <c r="H22" s="7">
        <v>95</v>
      </c>
      <c r="I22" s="7">
        <v>0</v>
      </c>
      <c r="J22" s="7">
        <v>85.64</v>
      </c>
      <c r="K22" s="7">
        <v>86.05</v>
      </c>
      <c r="M22" s="34">
        <v>446.21934999999996</v>
      </c>
      <c r="N22" s="34">
        <v>379.67252000000002</v>
      </c>
      <c r="O22" s="34">
        <v>382.59123999999997</v>
      </c>
      <c r="Q22" s="34">
        <v>5188.87</v>
      </c>
      <c r="R22" s="34">
        <v>4592.07</v>
      </c>
      <c r="S22" s="34">
        <v>4618.25</v>
      </c>
    </row>
    <row r="23" spans="1:19" x14ac:dyDescent="0.35">
      <c r="A23" s="112">
        <v>3</v>
      </c>
      <c r="B23" s="6" t="s">
        <v>10</v>
      </c>
      <c r="C23" s="6">
        <v>11</v>
      </c>
      <c r="D23" s="6">
        <v>0</v>
      </c>
      <c r="E23" s="6">
        <v>89</v>
      </c>
      <c r="F23" s="38">
        <f t="shared" si="2"/>
        <v>100</v>
      </c>
      <c r="H23" s="7">
        <v>31</v>
      </c>
      <c r="I23" s="7">
        <v>0</v>
      </c>
      <c r="J23" s="7">
        <v>48.87</v>
      </c>
      <c r="K23" s="7">
        <v>47.23</v>
      </c>
      <c r="M23" s="34">
        <v>185.15625</v>
      </c>
      <c r="N23" s="34">
        <v>251.50439</v>
      </c>
      <c r="O23" s="34">
        <v>245.25985999999997</v>
      </c>
      <c r="Q23" s="34">
        <v>5997.9</v>
      </c>
      <c r="R23" s="34">
        <v>5322.74</v>
      </c>
      <c r="S23" s="34">
        <v>5386.28</v>
      </c>
    </row>
    <row r="24" spans="1:19" x14ac:dyDescent="0.35">
      <c r="A24" s="112">
        <v>4</v>
      </c>
      <c r="B24" s="6" t="s">
        <v>11</v>
      </c>
      <c r="C24" s="6">
        <v>7</v>
      </c>
      <c r="D24" s="6">
        <v>0</v>
      </c>
      <c r="E24" s="6">
        <v>157</v>
      </c>
      <c r="F24" s="38">
        <f t="shared" si="2"/>
        <v>164</v>
      </c>
      <c r="H24" s="7">
        <v>60.17</v>
      </c>
      <c r="I24" s="7">
        <v>0</v>
      </c>
      <c r="J24" s="7">
        <v>71.69</v>
      </c>
      <c r="K24" s="7">
        <v>71.23</v>
      </c>
      <c r="M24" s="34">
        <v>334</v>
      </c>
      <c r="N24" s="34">
        <v>345.10796000000005</v>
      </c>
      <c r="O24" s="34">
        <v>344.66065999999995</v>
      </c>
      <c r="Q24" s="34">
        <v>5495.53</v>
      </c>
      <c r="R24" s="34">
        <v>4925.33</v>
      </c>
      <c r="S24" s="34">
        <v>4948.29</v>
      </c>
    </row>
    <row r="25" spans="1:19" x14ac:dyDescent="0.35">
      <c r="A25" s="112">
        <v>5</v>
      </c>
      <c r="B25" s="6" t="s">
        <v>12</v>
      </c>
      <c r="C25" s="6">
        <v>4</v>
      </c>
      <c r="D25" s="6">
        <v>0</v>
      </c>
      <c r="E25" s="6">
        <v>117</v>
      </c>
      <c r="F25" s="38">
        <f t="shared" si="2"/>
        <v>121</v>
      </c>
      <c r="H25" s="7">
        <v>58</v>
      </c>
      <c r="I25" s="7">
        <v>0</v>
      </c>
      <c r="J25" s="7">
        <v>80.56</v>
      </c>
      <c r="K25" s="7">
        <v>79.77</v>
      </c>
      <c r="M25" s="34">
        <v>353.25</v>
      </c>
      <c r="N25" s="34">
        <v>386.76364000000001</v>
      </c>
      <c r="O25" s="34">
        <v>385.53378000000004</v>
      </c>
      <c r="Q25" s="34">
        <v>6273.55</v>
      </c>
      <c r="R25" s="34">
        <v>4945.25</v>
      </c>
      <c r="S25" s="34">
        <v>4993.99</v>
      </c>
    </row>
    <row r="26" spans="1:19" x14ac:dyDescent="0.35">
      <c r="A26" s="112">
        <v>6</v>
      </c>
      <c r="B26" s="6" t="s">
        <v>13</v>
      </c>
      <c r="C26" s="6">
        <v>24</v>
      </c>
      <c r="D26" s="6">
        <v>0</v>
      </c>
      <c r="E26" s="6">
        <v>185</v>
      </c>
      <c r="F26" s="38">
        <f t="shared" si="2"/>
        <v>209</v>
      </c>
      <c r="H26" s="7">
        <v>107.83</v>
      </c>
      <c r="I26" s="7">
        <v>0</v>
      </c>
      <c r="J26" s="7">
        <v>71.489999999999995</v>
      </c>
      <c r="K26" s="7">
        <v>76.36</v>
      </c>
      <c r="M26" s="34">
        <v>681.60420999999997</v>
      </c>
      <c r="N26" s="34">
        <v>359.53280000000001</v>
      </c>
      <c r="O26" s="34">
        <v>403.20350000000002</v>
      </c>
      <c r="Q26" s="34">
        <v>6375.07</v>
      </c>
      <c r="R26" s="34">
        <v>5104.95</v>
      </c>
      <c r="S26" s="34">
        <v>5277.17</v>
      </c>
    </row>
    <row r="27" spans="1:19" x14ac:dyDescent="0.35">
      <c r="A27" s="112">
        <v>7</v>
      </c>
      <c r="B27" s="6" t="s">
        <v>14</v>
      </c>
      <c r="C27" s="6">
        <v>31</v>
      </c>
      <c r="D27" s="6">
        <v>0</v>
      </c>
      <c r="E27" s="6">
        <v>243</v>
      </c>
      <c r="F27" s="38">
        <f t="shared" si="2"/>
        <v>274</v>
      </c>
      <c r="H27" s="7">
        <v>118</v>
      </c>
      <c r="I27" s="7">
        <v>0</v>
      </c>
      <c r="J27" s="7">
        <v>119.47</v>
      </c>
      <c r="K27" s="7">
        <v>119.32</v>
      </c>
      <c r="M27" s="34">
        <v>1033.58897</v>
      </c>
      <c r="N27" s="34">
        <v>780.82736</v>
      </c>
      <c r="O27" s="34">
        <v>806.72506999999996</v>
      </c>
      <c r="Q27" s="34">
        <v>8422.57</v>
      </c>
      <c r="R27" s="34">
        <v>6541.67</v>
      </c>
      <c r="S27" s="34">
        <v>6734.39</v>
      </c>
    </row>
    <row r="28" spans="1:19" x14ac:dyDescent="0.35">
      <c r="A28" s="112">
        <v>8</v>
      </c>
      <c r="B28" s="6" t="s">
        <v>15</v>
      </c>
      <c r="C28" s="6">
        <v>23</v>
      </c>
      <c r="D28" s="6">
        <v>1</v>
      </c>
      <c r="E28" s="6">
        <v>239</v>
      </c>
      <c r="F28" s="38">
        <f t="shared" si="2"/>
        <v>263</v>
      </c>
      <c r="H28" s="7">
        <v>92.55</v>
      </c>
      <c r="I28" s="7">
        <v>0</v>
      </c>
      <c r="J28" s="7">
        <v>101.83</v>
      </c>
      <c r="K28" s="7">
        <v>101.38</v>
      </c>
      <c r="M28" s="34">
        <v>584.63635999999997</v>
      </c>
      <c r="N28" s="34">
        <v>616.28117000000009</v>
      </c>
      <c r="O28" s="34">
        <v>614.72021999999993</v>
      </c>
      <c r="Q28" s="34">
        <v>5868.34</v>
      </c>
      <c r="R28" s="34">
        <v>6065.27</v>
      </c>
      <c r="S28" s="34">
        <v>6055.56</v>
      </c>
    </row>
    <row r="29" spans="1:19" x14ac:dyDescent="0.35">
      <c r="A29" s="112">
        <v>9</v>
      </c>
      <c r="B29" s="6" t="s">
        <v>16</v>
      </c>
      <c r="C29" s="6">
        <v>100</v>
      </c>
      <c r="D29" s="6">
        <v>12</v>
      </c>
      <c r="E29" s="6">
        <v>172</v>
      </c>
      <c r="F29" s="38">
        <f t="shared" si="2"/>
        <v>284</v>
      </c>
      <c r="H29" s="7">
        <v>80.010000000000005</v>
      </c>
      <c r="I29" s="7">
        <v>96</v>
      </c>
      <c r="J29" s="7">
        <v>80.22</v>
      </c>
      <c r="K29" s="7">
        <v>80.77</v>
      </c>
      <c r="M29" s="34">
        <v>454.95191</v>
      </c>
      <c r="N29" s="34">
        <v>408.49979999999999</v>
      </c>
      <c r="O29" s="34">
        <v>426.83615999999995</v>
      </c>
      <c r="Q29" s="34">
        <v>5681.36</v>
      </c>
      <c r="R29" s="34">
        <v>5225.3</v>
      </c>
      <c r="S29" s="34">
        <v>5405.32</v>
      </c>
    </row>
    <row r="30" spans="1:19" x14ac:dyDescent="0.35">
      <c r="A30" s="112">
        <v>10</v>
      </c>
      <c r="B30" s="6" t="s">
        <v>17</v>
      </c>
      <c r="C30" s="6">
        <v>14</v>
      </c>
      <c r="D30" s="6">
        <v>1</v>
      </c>
      <c r="E30" s="6">
        <v>136</v>
      </c>
      <c r="F30" s="38">
        <f t="shared" si="2"/>
        <v>151</v>
      </c>
      <c r="H30" s="7">
        <v>108</v>
      </c>
      <c r="I30" s="7">
        <v>0</v>
      </c>
      <c r="J30" s="7">
        <v>81.83</v>
      </c>
      <c r="K30" s="7">
        <v>83.73</v>
      </c>
      <c r="M30" s="34">
        <v>524.90147999999999</v>
      </c>
      <c r="N30" s="34">
        <v>405.88620000000003</v>
      </c>
      <c r="O30" s="34">
        <v>414.73858000000001</v>
      </c>
      <c r="Q30" s="34">
        <v>5221.8100000000004</v>
      </c>
      <c r="R30" s="34">
        <v>4983.42</v>
      </c>
      <c r="S30" s="34">
        <v>5001.1499999999996</v>
      </c>
    </row>
    <row r="31" spans="1:19" x14ac:dyDescent="0.35">
      <c r="A31" s="112">
        <v>11</v>
      </c>
      <c r="B31" s="6" t="s">
        <v>96</v>
      </c>
      <c r="C31" s="6">
        <v>1</v>
      </c>
      <c r="D31" s="6">
        <v>0</v>
      </c>
      <c r="E31" s="6">
        <v>181</v>
      </c>
      <c r="F31" s="38">
        <f t="shared" si="2"/>
        <v>182</v>
      </c>
      <c r="H31" s="7">
        <v>65</v>
      </c>
      <c r="I31" s="7">
        <v>0</v>
      </c>
      <c r="J31" s="7">
        <v>57.01</v>
      </c>
      <c r="K31" s="7">
        <v>57.06</v>
      </c>
      <c r="M31" s="59" t="s">
        <v>100</v>
      </c>
      <c r="N31" s="34">
        <v>240.31845999999999</v>
      </c>
      <c r="O31" s="34">
        <v>241.20376999999999</v>
      </c>
      <c r="Q31" s="59" t="s">
        <v>100</v>
      </c>
      <c r="R31" s="34">
        <v>4280.95</v>
      </c>
      <c r="S31" s="34">
        <v>4290.7</v>
      </c>
    </row>
    <row r="32" spans="1:19" x14ac:dyDescent="0.35">
      <c r="A32" s="112">
        <v>12</v>
      </c>
      <c r="B32" s="6" t="s">
        <v>97</v>
      </c>
      <c r="C32" s="6">
        <v>31</v>
      </c>
      <c r="D32" s="6">
        <v>8</v>
      </c>
      <c r="E32" s="6">
        <v>5</v>
      </c>
      <c r="F32" s="38">
        <f t="shared" si="2"/>
        <v>44</v>
      </c>
      <c r="H32" s="7">
        <v>72.290000000000006</v>
      </c>
      <c r="I32" s="7">
        <v>65.569999999999993</v>
      </c>
      <c r="J32" s="7">
        <v>81.400000000000006</v>
      </c>
      <c r="K32" s="7">
        <v>72.260000000000005</v>
      </c>
      <c r="M32" s="34">
        <v>516.92918999999995</v>
      </c>
      <c r="N32" s="34">
        <v>395.66667000000001</v>
      </c>
      <c r="O32" s="34">
        <v>506.22955999999999</v>
      </c>
      <c r="Q32" s="34">
        <v>7048</v>
      </c>
      <c r="R32" s="34">
        <v>4288.67</v>
      </c>
      <c r="S32" s="34">
        <v>6804.53</v>
      </c>
    </row>
    <row r="33" spans="1:19" x14ac:dyDescent="0.35">
      <c r="A33" s="112">
        <v>13</v>
      </c>
      <c r="B33" s="6" t="s">
        <v>18</v>
      </c>
      <c r="C33" s="6">
        <v>4</v>
      </c>
      <c r="D33" s="6">
        <v>0</v>
      </c>
      <c r="E33" s="6">
        <v>138</v>
      </c>
      <c r="F33" s="38">
        <f t="shared" si="2"/>
        <v>142</v>
      </c>
      <c r="H33" s="7">
        <v>60.25</v>
      </c>
      <c r="I33" s="7">
        <v>0</v>
      </c>
      <c r="J33" s="7">
        <v>70.08</v>
      </c>
      <c r="K33" s="7">
        <v>69.790000000000006</v>
      </c>
      <c r="M33" s="34">
        <v>197.75024999999999</v>
      </c>
      <c r="N33" s="34">
        <v>296.59684000000004</v>
      </c>
      <c r="O33" s="34">
        <v>292.75814000000003</v>
      </c>
      <c r="Q33" s="34">
        <v>3371.84</v>
      </c>
      <c r="R33" s="34">
        <v>4306.37</v>
      </c>
      <c r="S33" s="34">
        <v>4270.08</v>
      </c>
    </row>
    <row r="34" spans="1:19" x14ac:dyDescent="0.35">
      <c r="A34" s="112">
        <v>14</v>
      </c>
      <c r="B34" s="6" t="s">
        <v>19</v>
      </c>
      <c r="C34" s="6">
        <v>3</v>
      </c>
      <c r="D34" s="6">
        <v>0</v>
      </c>
      <c r="E34" s="6">
        <v>38</v>
      </c>
      <c r="F34" s="38">
        <f t="shared" si="2"/>
        <v>41</v>
      </c>
      <c r="H34" s="7">
        <v>73</v>
      </c>
      <c r="I34" s="7">
        <v>0</v>
      </c>
      <c r="J34" s="7">
        <v>70.7</v>
      </c>
      <c r="K34" s="7">
        <v>70.83</v>
      </c>
      <c r="M34" s="34">
        <v>273.065</v>
      </c>
      <c r="N34" s="34">
        <v>269.13057000000003</v>
      </c>
      <c r="O34" s="34">
        <v>269.35539</v>
      </c>
      <c r="Q34" s="34">
        <v>4002.55</v>
      </c>
      <c r="R34" s="34">
        <v>3926.68</v>
      </c>
      <c r="S34" s="34">
        <v>3931.02</v>
      </c>
    </row>
    <row r="35" spans="1:19" x14ac:dyDescent="0.35">
      <c r="A35" s="112">
        <v>15</v>
      </c>
      <c r="B35" s="6" t="s">
        <v>20</v>
      </c>
      <c r="C35" s="6">
        <v>15</v>
      </c>
      <c r="D35" s="6">
        <v>0</v>
      </c>
      <c r="E35" s="6">
        <v>46</v>
      </c>
      <c r="F35" s="38">
        <f t="shared" si="2"/>
        <v>61</v>
      </c>
      <c r="H35" s="7">
        <v>76.77</v>
      </c>
      <c r="I35" s="7">
        <v>0</v>
      </c>
      <c r="J35" s="7">
        <v>67</v>
      </c>
      <c r="K35" s="7">
        <v>69.489999999999995</v>
      </c>
      <c r="M35" s="34">
        <v>279.15384999999998</v>
      </c>
      <c r="N35" s="34">
        <v>280.57895000000002</v>
      </c>
      <c r="O35" s="34">
        <v>280.21569</v>
      </c>
      <c r="Q35" s="34">
        <v>3956.36</v>
      </c>
      <c r="R35" s="34">
        <v>4377.4799999999996</v>
      </c>
      <c r="S35" s="34">
        <v>4270.1400000000003</v>
      </c>
    </row>
    <row r="36" spans="1:19" x14ac:dyDescent="0.35">
      <c r="A36" s="112">
        <v>16</v>
      </c>
      <c r="B36" s="6" t="s">
        <v>21</v>
      </c>
      <c r="C36" s="6">
        <v>1</v>
      </c>
      <c r="D36" s="6">
        <v>0</v>
      </c>
      <c r="E36" s="6">
        <v>81</v>
      </c>
      <c r="F36" s="38">
        <f t="shared" si="2"/>
        <v>82</v>
      </c>
      <c r="H36" s="7">
        <v>83</v>
      </c>
      <c r="I36" s="7">
        <v>0</v>
      </c>
      <c r="J36" s="7">
        <v>67.989999999999995</v>
      </c>
      <c r="K36" s="7">
        <v>68.19</v>
      </c>
      <c r="M36" s="59" t="s">
        <v>100</v>
      </c>
      <c r="N36" s="34">
        <v>266.38981999999999</v>
      </c>
      <c r="O36" s="34">
        <v>266.72710999999998</v>
      </c>
      <c r="Q36" s="59" t="s">
        <v>100</v>
      </c>
      <c r="R36" s="34">
        <v>4098.7</v>
      </c>
      <c r="S36" s="34">
        <v>4090.06</v>
      </c>
    </row>
    <row r="37" spans="1:19" x14ac:dyDescent="0.35">
      <c r="A37" s="112">
        <v>17</v>
      </c>
      <c r="B37" s="6" t="s">
        <v>22</v>
      </c>
      <c r="C37" s="6">
        <v>2</v>
      </c>
      <c r="D37" s="6">
        <v>0</v>
      </c>
      <c r="E37" s="6">
        <v>115</v>
      </c>
      <c r="F37" s="38">
        <f t="shared" si="2"/>
        <v>117</v>
      </c>
      <c r="H37" s="7">
        <v>57</v>
      </c>
      <c r="I37" s="7">
        <v>0</v>
      </c>
      <c r="J37" s="7">
        <v>66.91</v>
      </c>
      <c r="K37" s="7">
        <v>66.72</v>
      </c>
      <c r="M37" s="59" t="s">
        <v>100</v>
      </c>
      <c r="N37" s="34">
        <v>269.05650000000003</v>
      </c>
      <c r="O37" s="34">
        <v>268.50536999999997</v>
      </c>
      <c r="Q37" s="59" t="s">
        <v>100</v>
      </c>
      <c r="R37" s="34">
        <v>4059.79</v>
      </c>
      <c r="S37" s="34">
        <v>4063.33</v>
      </c>
    </row>
    <row r="38" spans="1:19" x14ac:dyDescent="0.35">
      <c r="A38" s="112">
        <v>18</v>
      </c>
      <c r="B38" s="6" t="s">
        <v>23</v>
      </c>
      <c r="C38" s="6">
        <v>38</v>
      </c>
      <c r="D38" s="6">
        <v>0</v>
      </c>
      <c r="E38" s="6">
        <v>247</v>
      </c>
      <c r="F38" s="38">
        <f t="shared" si="2"/>
        <v>285</v>
      </c>
      <c r="H38" s="7">
        <v>70.67</v>
      </c>
      <c r="I38" s="7">
        <v>0</v>
      </c>
      <c r="J38" s="7">
        <v>67.36</v>
      </c>
      <c r="K38" s="7">
        <v>67.58</v>
      </c>
      <c r="M38" s="34">
        <v>300.39999999999998</v>
      </c>
      <c r="N38" s="34">
        <v>300.22098999999997</v>
      </c>
      <c r="O38" s="34">
        <v>300.23359999999997</v>
      </c>
      <c r="Q38" s="34">
        <v>4419.78</v>
      </c>
      <c r="R38" s="34">
        <v>4517.8999999999996</v>
      </c>
      <c r="S38" s="34">
        <v>4510.99</v>
      </c>
    </row>
    <row r="39" spans="1:19" x14ac:dyDescent="0.35">
      <c r="A39" s="112">
        <v>19</v>
      </c>
      <c r="B39" s="6" t="s">
        <v>24</v>
      </c>
      <c r="C39" s="6">
        <v>2</v>
      </c>
      <c r="D39" s="6">
        <v>0</v>
      </c>
      <c r="E39" s="6">
        <v>182</v>
      </c>
      <c r="F39" s="38">
        <f t="shared" si="2"/>
        <v>184</v>
      </c>
      <c r="H39" s="7">
        <v>73.5</v>
      </c>
      <c r="I39" s="7">
        <v>0</v>
      </c>
      <c r="J39" s="7">
        <v>88.29</v>
      </c>
      <c r="K39" s="7">
        <v>88.12</v>
      </c>
      <c r="M39" s="59" t="s">
        <v>100</v>
      </c>
      <c r="N39" s="34">
        <v>517.59149000000002</v>
      </c>
      <c r="O39" s="34">
        <v>516.48971000000006</v>
      </c>
      <c r="Q39" s="59" t="s">
        <v>100</v>
      </c>
      <c r="R39" s="34">
        <v>5749.88</v>
      </c>
      <c r="S39" s="34">
        <v>5754.04</v>
      </c>
    </row>
    <row r="40" spans="1:19" x14ac:dyDescent="0.35">
      <c r="A40" s="112">
        <v>20</v>
      </c>
      <c r="B40" s="6" t="s">
        <v>25</v>
      </c>
      <c r="C40" s="6">
        <v>3</v>
      </c>
      <c r="D40" s="6">
        <v>0</v>
      </c>
      <c r="E40" s="6">
        <v>99</v>
      </c>
      <c r="F40" s="38">
        <f t="shared" si="2"/>
        <v>102</v>
      </c>
      <c r="H40" s="7">
        <v>0</v>
      </c>
      <c r="I40" s="7">
        <v>0</v>
      </c>
      <c r="J40" s="7">
        <v>80.69</v>
      </c>
      <c r="K40" s="7">
        <v>80.69</v>
      </c>
      <c r="M40" s="34">
        <v>0</v>
      </c>
      <c r="N40" s="34">
        <v>417.59118999999998</v>
      </c>
      <c r="O40" s="34">
        <v>417.59118999999998</v>
      </c>
      <c r="Q40" s="34">
        <v>0</v>
      </c>
      <c r="R40" s="34">
        <v>5149.8599999999997</v>
      </c>
      <c r="S40" s="34">
        <v>5149.8599999999997</v>
      </c>
    </row>
    <row r="41" spans="1:19" x14ac:dyDescent="0.35">
      <c r="A41" s="112">
        <v>21</v>
      </c>
      <c r="B41" s="6" t="s">
        <v>26</v>
      </c>
      <c r="C41" s="6">
        <v>1</v>
      </c>
      <c r="D41" s="6">
        <v>0</v>
      </c>
      <c r="E41" s="6">
        <v>58</v>
      </c>
      <c r="F41" s="38">
        <f t="shared" si="2"/>
        <v>59</v>
      </c>
      <c r="H41" s="7">
        <v>182</v>
      </c>
      <c r="I41" s="7">
        <v>0</v>
      </c>
      <c r="J41" s="7">
        <v>174.04</v>
      </c>
      <c r="K41" s="7">
        <v>174.21</v>
      </c>
      <c r="M41" s="59" t="s">
        <v>100</v>
      </c>
      <c r="N41" s="34">
        <v>1293.4388999999999</v>
      </c>
      <c r="O41" s="34">
        <v>1291.1402800000001</v>
      </c>
      <c r="Q41" s="59" t="s">
        <v>100</v>
      </c>
      <c r="R41" s="34">
        <v>7154.86</v>
      </c>
      <c r="S41" s="34">
        <v>7141.16</v>
      </c>
    </row>
    <row r="42" spans="1:19" x14ac:dyDescent="0.35">
      <c r="A42" s="112">
        <v>22</v>
      </c>
      <c r="B42" s="6" t="s">
        <v>27</v>
      </c>
      <c r="C42" s="6">
        <v>1</v>
      </c>
      <c r="D42" s="6">
        <v>0</v>
      </c>
      <c r="E42" s="6">
        <v>18</v>
      </c>
      <c r="F42" s="38">
        <f t="shared" si="2"/>
        <v>19</v>
      </c>
      <c r="H42" s="7">
        <v>136</v>
      </c>
      <c r="I42" s="7">
        <v>0</v>
      </c>
      <c r="J42" s="7">
        <v>158.57</v>
      </c>
      <c r="K42" s="7">
        <v>157.07</v>
      </c>
      <c r="M42" s="59" t="s">
        <v>100</v>
      </c>
      <c r="N42" s="34">
        <v>597.92307999999991</v>
      </c>
      <c r="O42" s="34">
        <v>590.92856999999992</v>
      </c>
      <c r="Q42" s="59" t="s">
        <v>100</v>
      </c>
      <c r="R42" s="34">
        <v>4009.49</v>
      </c>
      <c r="S42" s="34">
        <v>3985.7</v>
      </c>
    </row>
    <row r="43" spans="1:19" x14ac:dyDescent="0.35">
      <c r="A43" s="112">
        <v>23</v>
      </c>
      <c r="B43" s="6" t="s">
        <v>28</v>
      </c>
      <c r="C43" s="6">
        <v>5</v>
      </c>
      <c r="D43" s="6">
        <v>0</v>
      </c>
      <c r="E43" s="6">
        <v>102</v>
      </c>
      <c r="F43" s="38">
        <f t="shared" si="2"/>
        <v>107</v>
      </c>
      <c r="H43" s="7">
        <v>163.80000000000001</v>
      </c>
      <c r="I43" s="7">
        <v>0</v>
      </c>
      <c r="J43" s="7">
        <v>103.28</v>
      </c>
      <c r="K43" s="7">
        <v>106.64</v>
      </c>
      <c r="M43" s="34">
        <v>1652.972</v>
      </c>
      <c r="N43" s="34">
        <v>725.17692</v>
      </c>
      <c r="O43" s="34">
        <v>783.89813000000004</v>
      </c>
      <c r="Q43" s="34">
        <v>10080.790000000001</v>
      </c>
      <c r="R43" s="34">
        <v>6828.56</v>
      </c>
      <c r="S43" s="34">
        <v>7034.4</v>
      </c>
    </row>
    <row r="44" spans="1:19" x14ac:dyDescent="0.35">
      <c r="A44" s="112">
        <v>24</v>
      </c>
      <c r="B44" s="6" t="s">
        <v>29</v>
      </c>
      <c r="C44" s="6">
        <v>1</v>
      </c>
      <c r="D44" s="6">
        <v>0</v>
      </c>
      <c r="E44" s="6">
        <v>66</v>
      </c>
      <c r="F44" s="38">
        <f t="shared" si="2"/>
        <v>67</v>
      </c>
      <c r="H44" s="7">
        <v>60</v>
      </c>
      <c r="I44" s="7">
        <v>0</v>
      </c>
      <c r="J44" s="7">
        <v>150.28</v>
      </c>
      <c r="K44" s="7">
        <v>148.80000000000001</v>
      </c>
      <c r="M44" s="59" t="s">
        <v>100</v>
      </c>
      <c r="N44" s="34">
        <v>1077.43066</v>
      </c>
      <c r="O44" s="34">
        <v>1058.4717900000001</v>
      </c>
      <c r="Q44" s="59" t="s">
        <v>100</v>
      </c>
      <c r="R44" s="34">
        <v>7230.33</v>
      </c>
      <c r="S44" s="34">
        <v>7105.9</v>
      </c>
    </row>
    <row r="45" spans="1:19" x14ac:dyDescent="0.35">
      <c r="A45" s="112">
        <v>25</v>
      </c>
      <c r="B45" s="6" t="s">
        <v>30</v>
      </c>
      <c r="C45" s="6">
        <v>6</v>
      </c>
      <c r="D45" s="6">
        <v>0</v>
      </c>
      <c r="E45" s="6">
        <v>102</v>
      </c>
      <c r="F45" s="38">
        <f t="shared" si="2"/>
        <v>108</v>
      </c>
      <c r="H45" s="7">
        <v>109.6</v>
      </c>
      <c r="I45" s="7">
        <v>0</v>
      </c>
      <c r="J45" s="7">
        <v>131.16</v>
      </c>
      <c r="K45" s="7">
        <v>130.05000000000001</v>
      </c>
      <c r="M45" s="34">
        <v>281.00020000000001</v>
      </c>
      <c r="N45" s="34">
        <v>857.09681999999998</v>
      </c>
      <c r="O45" s="34">
        <v>827.09179000000006</v>
      </c>
      <c r="Q45" s="34">
        <v>2601.04</v>
      </c>
      <c r="R45" s="34">
        <v>6430.76</v>
      </c>
      <c r="S45" s="34">
        <v>6231.3</v>
      </c>
    </row>
    <row r="46" spans="1:19" x14ac:dyDescent="0.35">
      <c r="A46" s="112">
        <v>26</v>
      </c>
      <c r="B46" s="6" t="s">
        <v>31</v>
      </c>
      <c r="C46" s="6">
        <v>6</v>
      </c>
      <c r="D46" s="6">
        <v>0</v>
      </c>
      <c r="E46" s="6">
        <v>227</v>
      </c>
      <c r="F46" s="38">
        <f t="shared" si="2"/>
        <v>233</v>
      </c>
      <c r="H46" s="7">
        <v>76</v>
      </c>
      <c r="I46" s="7">
        <v>0</v>
      </c>
      <c r="J46" s="7">
        <v>136.34</v>
      </c>
      <c r="K46" s="7">
        <v>136.06</v>
      </c>
      <c r="M46" s="34">
        <v>468</v>
      </c>
      <c r="N46" s="34">
        <v>916.58710999999994</v>
      </c>
      <c r="O46" s="34">
        <v>914.47113000000002</v>
      </c>
      <c r="Q46" s="34">
        <v>6157.9</v>
      </c>
      <c r="R46" s="34">
        <v>6661.21</v>
      </c>
      <c r="S46" s="34">
        <v>6658.84</v>
      </c>
    </row>
    <row r="47" spans="1:19" x14ac:dyDescent="0.35">
      <c r="A47" s="112">
        <v>27</v>
      </c>
      <c r="B47" s="6" t="s">
        <v>32</v>
      </c>
      <c r="C47" s="6">
        <v>1</v>
      </c>
      <c r="D47" s="6">
        <v>0</v>
      </c>
      <c r="E47" s="6">
        <v>137</v>
      </c>
      <c r="F47" s="38">
        <f t="shared" si="2"/>
        <v>138</v>
      </c>
      <c r="H47" s="7">
        <v>93</v>
      </c>
      <c r="I47" s="7">
        <v>0</v>
      </c>
      <c r="J47" s="7">
        <v>101.79</v>
      </c>
      <c r="K47" s="7">
        <v>101.72</v>
      </c>
      <c r="M47" s="59" t="s">
        <v>100</v>
      </c>
      <c r="N47" s="34">
        <v>562.83884999999998</v>
      </c>
      <c r="O47" s="34">
        <v>565.57524999999998</v>
      </c>
      <c r="Q47" s="59" t="s">
        <v>100</v>
      </c>
      <c r="R47" s="34">
        <v>5691.77</v>
      </c>
      <c r="S47" s="34">
        <v>5723.96</v>
      </c>
    </row>
    <row r="48" spans="1:19" x14ac:dyDescent="0.35">
      <c r="A48" s="112">
        <v>28</v>
      </c>
      <c r="B48" s="6" t="s">
        <v>33</v>
      </c>
      <c r="C48" s="6">
        <v>15</v>
      </c>
      <c r="D48" s="6">
        <v>0</v>
      </c>
      <c r="E48" s="6">
        <v>41</v>
      </c>
      <c r="F48" s="38">
        <f t="shared" si="2"/>
        <v>56</v>
      </c>
      <c r="H48" s="7">
        <v>80.31</v>
      </c>
      <c r="I48" s="7">
        <v>0</v>
      </c>
      <c r="J48" s="7">
        <v>79.92</v>
      </c>
      <c r="K48" s="7">
        <v>80.02</v>
      </c>
      <c r="M48" s="34">
        <v>283.46153999999996</v>
      </c>
      <c r="N48" s="34">
        <v>359.18696999999997</v>
      </c>
      <c r="O48" s="34">
        <v>338.678</v>
      </c>
      <c r="Q48" s="34">
        <v>3840.79</v>
      </c>
      <c r="R48" s="34">
        <v>4707.46</v>
      </c>
      <c r="S48" s="34">
        <v>4472.74</v>
      </c>
    </row>
    <row r="49" spans="1:19" x14ac:dyDescent="0.35">
      <c r="A49" s="112">
        <v>29</v>
      </c>
      <c r="B49" s="6" t="s">
        <v>34</v>
      </c>
      <c r="C49" s="6">
        <v>8</v>
      </c>
      <c r="D49" s="6">
        <v>1</v>
      </c>
      <c r="E49" s="6">
        <v>26</v>
      </c>
      <c r="F49" s="38">
        <f t="shared" si="2"/>
        <v>35</v>
      </c>
      <c r="H49" s="7">
        <v>54.5</v>
      </c>
      <c r="I49" s="7">
        <v>58</v>
      </c>
      <c r="J49" s="7">
        <v>69.77</v>
      </c>
      <c r="K49" s="7">
        <v>65.45</v>
      </c>
      <c r="M49" s="34">
        <v>180.125</v>
      </c>
      <c r="N49" s="34">
        <v>266.26609999999999</v>
      </c>
      <c r="O49" s="34">
        <v>243.29514</v>
      </c>
      <c r="Q49" s="34">
        <v>3328.41</v>
      </c>
      <c r="R49" s="34">
        <v>3767.63</v>
      </c>
      <c r="S49" s="34">
        <v>3650.5</v>
      </c>
    </row>
    <row r="50" spans="1:19" x14ac:dyDescent="0.35">
      <c r="A50" s="112">
        <v>30</v>
      </c>
      <c r="B50" s="6" t="s">
        <v>35</v>
      </c>
      <c r="C50" s="6">
        <v>1</v>
      </c>
      <c r="D50" s="6">
        <v>0</v>
      </c>
      <c r="E50" s="6">
        <v>55</v>
      </c>
      <c r="F50" s="38">
        <f t="shared" si="2"/>
        <v>56</v>
      </c>
      <c r="H50" s="7">
        <v>39</v>
      </c>
      <c r="I50" s="7">
        <v>0</v>
      </c>
      <c r="J50" s="7">
        <v>83.45</v>
      </c>
      <c r="K50" s="7">
        <v>82.63</v>
      </c>
      <c r="M50" s="59" t="s">
        <v>100</v>
      </c>
      <c r="N50" s="34">
        <v>376.59062</v>
      </c>
      <c r="O50" s="34">
        <v>373.95004999999998</v>
      </c>
      <c r="Q50" s="59" t="s">
        <v>100</v>
      </c>
      <c r="R50" s="34">
        <v>4420.8</v>
      </c>
      <c r="S50" s="34">
        <v>4450.04</v>
      </c>
    </row>
    <row r="51" spans="1:19" x14ac:dyDescent="0.35">
      <c r="A51" s="112">
        <v>31</v>
      </c>
      <c r="B51" s="6" t="s">
        <v>36</v>
      </c>
      <c r="C51" s="6">
        <v>3</v>
      </c>
      <c r="D51" s="6">
        <v>0</v>
      </c>
      <c r="E51" s="6">
        <v>253</v>
      </c>
      <c r="F51" s="38">
        <f t="shared" si="2"/>
        <v>256</v>
      </c>
      <c r="H51" s="7">
        <v>52</v>
      </c>
      <c r="I51" s="7">
        <v>0</v>
      </c>
      <c r="J51" s="7">
        <v>78.39</v>
      </c>
      <c r="K51" s="7">
        <v>78.28</v>
      </c>
      <c r="M51" s="34">
        <v>370.00099999999998</v>
      </c>
      <c r="N51" s="34">
        <v>424.92106000000001</v>
      </c>
      <c r="O51" s="34">
        <v>424.68635999999998</v>
      </c>
      <c r="Q51" s="34">
        <v>7115.4</v>
      </c>
      <c r="R51" s="34">
        <v>5526.46</v>
      </c>
      <c r="S51" s="34">
        <v>5533.25</v>
      </c>
    </row>
    <row r="52" spans="1:19" x14ac:dyDescent="0.35">
      <c r="A52" s="112">
        <v>32</v>
      </c>
      <c r="B52" s="6" t="s">
        <v>37</v>
      </c>
      <c r="C52" s="6">
        <v>1</v>
      </c>
      <c r="D52" s="6">
        <v>0</v>
      </c>
      <c r="E52" s="6">
        <v>150</v>
      </c>
      <c r="F52" s="38">
        <f t="shared" si="2"/>
        <v>151</v>
      </c>
      <c r="H52" s="7">
        <v>68</v>
      </c>
      <c r="I52" s="7">
        <v>0</v>
      </c>
      <c r="J52" s="7">
        <v>76.77</v>
      </c>
      <c r="K52" s="7">
        <v>76.709999999999994</v>
      </c>
      <c r="M52" s="59" t="s">
        <v>100</v>
      </c>
      <c r="N52" s="34">
        <v>392.83224999999999</v>
      </c>
      <c r="O52" s="34">
        <v>392.73649</v>
      </c>
      <c r="Q52" s="59" t="s">
        <v>100</v>
      </c>
      <c r="R52" s="34">
        <v>5232.76</v>
      </c>
      <c r="S52" s="34">
        <v>5235.41</v>
      </c>
    </row>
    <row r="53" spans="1:19" x14ac:dyDescent="0.35">
      <c r="A53" s="112">
        <v>33</v>
      </c>
      <c r="B53" s="6" t="s">
        <v>38</v>
      </c>
      <c r="C53" s="6">
        <v>1</v>
      </c>
      <c r="D53" s="6">
        <v>0</v>
      </c>
      <c r="E53" s="6">
        <v>108</v>
      </c>
      <c r="F53" s="38">
        <f t="shared" si="2"/>
        <v>109</v>
      </c>
      <c r="H53" s="7">
        <v>59</v>
      </c>
      <c r="I53" s="7">
        <v>0</v>
      </c>
      <c r="J53" s="7">
        <v>71.03</v>
      </c>
      <c r="K53" s="7">
        <v>70.91</v>
      </c>
      <c r="M53" s="59" t="s">
        <v>100</v>
      </c>
      <c r="N53" s="34">
        <v>304.52964000000003</v>
      </c>
      <c r="O53" s="34">
        <v>304.29378000000003</v>
      </c>
      <c r="Q53" s="59" t="s">
        <v>100</v>
      </c>
      <c r="R53" s="34">
        <v>4336.46</v>
      </c>
      <c r="S53" s="34">
        <v>4340.3999999999996</v>
      </c>
    </row>
    <row r="54" spans="1:19" x14ac:dyDescent="0.35">
      <c r="A54" s="112">
        <v>34</v>
      </c>
      <c r="B54" s="6" t="s">
        <v>39</v>
      </c>
      <c r="C54" s="6">
        <v>0</v>
      </c>
      <c r="D54" s="6">
        <v>0</v>
      </c>
      <c r="E54" s="6">
        <v>47</v>
      </c>
      <c r="F54" s="38">
        <f t="shared" si="2"/>
        <v>47</v>
      </c>
      <c r="H54" s="7">
        <v>0</v>
      </c>
      <c r="I54" s="7">
        <v>0</v>
      </c>
      <c r="J54" s="7">
        <v>68.19</v>
      </c>
      <c r="K54" s="7">
        <v>68.19</v>
      </c>
      <c r="M54" s="34">
        <v>0</v>
      </c>
      <c r="N54" s="34">
        <v>244.97672</v>
      </c>
      <c r="O54" s="34">
        <v>244.97672</v>
      </c>
      <c r="Q54" s="34">
        <v>0</v>
      </c>
      <c r="R54" s="34">
        <v>3519.6</v>
      </c>
      <c r="S54" s="34">
        <v>3519.6</v>
      </c>
    </row>
    <row r="55" spans="1:19" x14ac:dyDescent="0.35">
      <c r="A55" s="112">
        <v>35</v>
      </c>
      <c r="B55" s="6" t="s">
        <v>40</v>
      </c>
      <c r="C55" s="6">
        <v>26</v>
      </c>
      <c r="D55" s="6">
        <v>0</v>
      </c>
      <c r="E55" s="6">
        <v>149</v>
      </c>
      <c r="F55" s="38">
        <f t="shared" si="2"/>
        <v>175</v>
      </c>
      <c r="H55" s="7">
        <v>71.92</v>
      </c>
      <c r="I55" s="7">
        <v>0</v>
      </c>
      <c r="J55" s="7">
        <v>75.05</v>
      </c>
      <c r="K55" s="7">
        <v>74.56</v>
      </c>
      <c r="M55" s="34">
        <v>322.08</v>
      </c>
      <c r="N55" s="34">
        <v>288.82427000000001</v>
      </c>
      <c r="O55" s="34">
        <v>294.02047999999996</v>
      </c>
      <c r="Q55" s="34">
        <v>4460.21</v>
      </c>
      <c r="R55" s="34">
        <v>3990.31</v>
      </c>
      <c r="S55" s="34">
        <v>4063.73</v>
      </c>
    </row>
    <row r="56" spans="1:19" x14ac:dyDescent="0.35">
      <c r="A56" s="112">
        <v>36</v>
      </c>
      <c r="B56" s="6" t="s">
        <v>41</v>
      </c>
      <c r="C56" s="6">
        <v>12</v>
      </c>
      <c r="D56" s="6">
        <v>0</v>
      </c>
      <c r="E56" s="6">
        <v>30</v>
      </c>
      <c r="F56" s="38">
        <f t="shared" si="2"/>
        <v>42</v>
      </c>
      <c r="H56" s="7">
        <v>102.91</v>
      </c>
      <c r="I56" s="7">
        <v>0</v>
      </c>
      <c r="J56" s="7">
        <v>81.7</v>
      </c>
      <c r="K56" s="7">
        <v>87.39</v>
      </c>
      <c r="M56" s="34">
        <v>434.81817999999998</v>
      </c>
      <c r="N56" s="34">
        <v>354.36667</v>
      </c>
      <c r="O56" s="34">
        <v>375.95121999999998</v>
      </c>
      <c r="Q56" s="34">
        <v>4737.32</v>
      </c>
      <c r="R56" s="34">
        <v>4368.8900000000003</v>
      </c>
      <c r="S56" s="34">
        <v>4467.74</v>
      </c>
    </row>
    <row r="57" spans="1:19" x14ac:dyDescent="0.35">
      <c r="A57" s="112">
        <v>37</v>
      </c>
      <c r="B57" s="6" t="s">
        <v>42</v>
      </c>
      <c r="C57" s="6">
        <v>34</v>
      </c>
      <c r="D57" s="6">
        <v>2</v>
      </c>
      <c r="E57" s="6">
        <v>154</v>
      </c>
      <c r="F57" s="38">
        <f t="shared" si="2"/>
        <v>190</v>
      </c>
      <c r="H57" s="7">
        <v>60.84</v>
      </c>
      <c r="I57" s="7">
        <v>63</v>
      </c>
      <c r="J57" s="7">
        <v>62.96</v>
      </c>
      <c r="K57" s="7">
        <v>62.58</v>
      </c>
      <c r="M57" s="34">
        <v>190.50594000000001</v>
      </c>
      <c r="N57" s="34">
        <v>179.86044000000001</v>
      </c>
      <c r="O57" s="34">
        <v>181.86429999999999</v>
      </c>
      <c r="Q57" s="34">
        <v>3057.22</v>
      </c>
      <c r="R57" s="34">
        <v>2909.36</v>
      </c>
      <c r="S57" s="34">
        <v>2937.19</v>
      </c>
    </row>
    <row r="58" spans="1:19" x14ac:dyDescent="0.35">
      <c r="A58" s="112">
        <v>38</v>
      </c>
      <c r="B58" s="6" t="s">
        <v>43</v>
      </c>
      <c r="C58" s="6">
        <v>14</v>
      </c>
      <c r="D58" s="6">
        <v>0</v>
      </c>
      <c r="E58" s="6">
        <v>54</v>
      </c>
      <c r="F58" s="38">
        <f t="shared" si="2"/>
        <v>68</v>
      </c>
      <c r="H58" s="7">
        <v>67.709999999999994</v>
      </c>
      <c r="I58" s="7">
        <v>0</v>
      </c>
      <c r="J58" s="7">
        <v>60.38</v>
      </c>
      <c r="K58" s="7">
        <v>61.91</v>
      </c>
      <c r="M58" s="34">
        <v>198.21429000000001</v>
      </c>
      <c r="N58" s="34">
        <v>205.05501999999998</v>
      </c>
      <c r="O58" s="34">
        <v>203.60396</v>
      </c>
      <c r="Q58" s="34">
        <v>2961.37</v>
      </c>
      <c r="R58" s="34">
        <v>3386.75</v>
      </c>
      <c r="S58" s="34">
        <v>3296.52</v>
      </c>
    </row>
    <row r="59" spans="1:19" x14ac:dyDescent="0.35">
      <c r="A59" s="112">
        <v>39</v>
      </c>
      <c r="B59" s="6" t="s">
        <v>44</v>
      </c>
      <c r="C59" s="6">
        <v>6</v>
      </c>
      <c r="D59" s="6">
        <v>0</v>
      </c>
      <c r="E59" s="6">
        <v>26</v>
      </c>
      <c r="F59" s="38">
        <f t="shared" si="2"/>
        <v>32</v>
      </c>
      <c r="H59" s="7">
        <v>65.67</v>
      </c>
      <c r="I59" s="7">
        <v>0</v>
      </c>
      <c r="J59" s="7">
        <v>74.62</v>
      </c>
      <c r="K59" s="7">
        <v>72.94</v>
      </c>
      <c r="M59" s="34">
        <v>119.16667</v>
      </c>
      <c r="N59" s="34">
        <v>205.54004</v>
      </c>
      <c r="O59" s="34">
        <v>188.82261</v>
      </c>
      <c r="Q59" s="34">
        <v>1818.31</v>
      </c>
      <c r="R59" s="34">
        <v>2670.41</v>
      </c>
      <c r="S59" s="34">
        <v>2505.4899999999998</v>
      </c>
    </row>
    <row r="60" spans="1:19" x14ac:dyDescent="0.35">
      <c r="A60" s="112">
        <v>40</v>
      </c>
      <c r="B60" s="6" t="s">
        <v>45</v>
      </c>
      <c r="C60" s="6">
        <v>4</v>
      </c>
      <c r="D60" s="6">
        <v>1</v>
      </c>
      <c r="E60" s="6">
        <v>15</v>
      </c>
      <c r="F60" s="38">
        <f t="shared" si="2"/>
        <v>20</v>
      </c>
      <c r="H60" s="7">
        <v>68.33</v>
      </c>
      <c r="I60" s="7">
        <v>59</v>
      </c>
      <c r="J60" s="7">
        <v>65.86</v>
      </c>
      <c r="K60" s="7">
        <v>65.89</v>
      </c>
      <c r="M60" s="34">
        <v>161.69999999999999</v>
      </c>
      <c r="N60" s="34">
        <v>225.41667000000001</v>
      </c>
      <c r="O60" s="34">
        <v>212.67334</v>
      </c>
      <c r="Q60" s="34">
        <v>2611.8200000000002</v>
      </c>
      <c r="R60" s="34">
        <v>3543.07</v>
      </c>
      <c r="S60" s="34">
        <v>3356.82</v>
      </c>
    </row>
    <row r="61" spans="1:19" x14ac:dyDescent="0.35">
      <c r="A61" s="112">
        <v>41</v>
      </c>
      <c r="B61" s="6" t="s">
        <v>46</v>
      </c>
      <c r="C61" s="6">
        <v>1</v>
      </c>
      <c r="D61" s="6">
        <v>1</v>
      </c>
      <c r="E61" s="6">
        <v>7</v>
      </c>
      <c r="F61" s="38">
        <f t="shared" si="2"/>
        <v>9</v>
      </c>
      <c r="H61" s="7">
        <v>49</v>
      </c>
      <c r="I61" s="7">
        <v>64</v>
      </c>
      <c r="J61" s="7">
        <v>69.569999999999993</v>
      </c>
      <c r="K61" s="7">
        <v>66.67</v>
      </c>
      <c r="M61" s="59" t="s">
        <v>100</v>
      </c>
      <c r="N61" s="34">
        <v>318.14285999999998</v>
      </c>
      <c r="O61" s="34">
        <v>317.75</v>
      </c>
      <c r="Q61" s="59" t="s">
        <v>100</v>
      </c>
      <c r="R61" s="34">
        <v>4684.6899999999996</v>
      </c>
      <c r="S61" s="34">
        <v>4902.67</v>
      </c>
    </row>
    <row r="62" spans="1:19" x14ac:dyDescent="0.35">
      <c r="A62" s="112">
        <v>42</v>
      </c>
      <c r="B62" s="6" t="s">
        <v>47</v>
      </c>
      <c r="C62" s="6">
        <v>12</v>
      </c>
      <c r="D62" s="6">
        <v>0</v>
      </c>
      <c r="E62" s="6">
        <v>1</v>
      </c>
      <c r="F62" s="38">
        <f t="shared" si="2"/>
        <v>13</v>
      </c>
      <c r="H62" s="7">
        <v>104.58</v>
      </c>
      <c r="I62" s="7">
        <v>0</v>
      </c>
      <c r="J62" s="7">
        <v>112</v>
      </c>
      <c r="K62" s="7">
        <v>105.15</v>
      </c>
      <c r="M62" s="34">
        <v>487.77125000000001</v>
      </c>
      <c r="N62" s="59" t="s">
        <v>100</v>
      </c>
      <c r="O62" s="34">
        <v>493.32731000000001</v>
      </c>
      <c r="Q62" s="34">
        <v>4675.4399999999996</v>
      </c>
      <c r="R62" s="59" t="s">
        <v>100</v>
      </c>
      <c r="S62" s="34">
        <v>4700.41</v>
      </c>
    </row>
    <row r="63" spans="1:19" x14ac:dyDescent="0.35">
      <c r="A63" s="112">
        <v>43</v>
      </c>
      <c r="B63" s="6" t="s">
        <v>48</v>
      </c>
      <c r="C63" s="6">
        <v>28</v>
      </c>
      <c r="D63" s="6">
        <v>1</v>
      </c>
      <c r="E63" s="6">
        <v>85</v>
      </c>
      <c r="F63" s="38">
        <f t="shared" si="2"/>
        <v>114</v>
      </c>
      <c r="H63" s="7">
        <v>71.81</v>
      </c>
      <c r="I63" s="7">
        <v>63</v>
      </c>
      <c r="J63" s="7">
        <v>67.510000000000005</v>
      </c>
      <c r="K63" s="7">
        <v>68.540000000000006</v>
      </c>
      <c r="M63" s="34">
        <v>278.12074000000001</v>
      </c>
      <c r="N63" s="34">
        <v>283.34969000000001</v>
      </c>
      <c r="O63" s="34">
        <v>281.87905000000001</v>
      </c>
      <c r="Q63" s="34">
        <v>3881.03</v>
      </c>
      <c r="R63" s="34">
        <v>3964.83</v>
      </c>
      <c r="S63" s="34">
        <v>3941.26</v>
      </c>
    </row>
    <row r="64" spans="1:19" x14ac:dyDescent="0.35">
      <c r="A64" s="112">
        <v>44</v>
      </c>
      <c r="B64" s="6" t="s">
        <v>49</v>
      </c>
      <c r="C64" s="6">
        <v>2</v>
      </c>
      <c r="D64" s="6">
        <v>0</v>
      </c>
      <c r="E64" s="6">
        <v>98</v>
      </c>
      <c r="F64" s="38">
        <f t="shared" si="2"/>
        <v>100</v>
      </c>
      <c r="H64" s="7">
        <v>61</v>
      </c>
      <c r="I64" s="7">
        <v>0</v>
      </c>
      <c r="J64" s="7">
        <v>73.98</v>
      </c>
      <c r="K64" s="7">
        <v>73.7</v>
      </c>
      <c r="M64" s="59" t="s">
        <v>100</v>
      </c>
      <c r="N64" s="34">
        <v>267.20746999999994</v>
      </c>
      <c r="O64" s="34">
        <v>266.90285999999998</v>
      </c>
      <c r="Q64" s="59" t="s">
        <v>100</v>
      </c>
      <c r="R64" s="34">
        <v>3664.15</v>
      </c>
      <c r="S64" s="34">
        <v>3673.93</v>
      </c>
    </row>
    <row r="65" spans="1:19" x14ac:dyDescent="0.35">
      <c r="A65" s="112">
        <v>45</v>
      </c>
      <c r="B65" s="6" t="s">
        <v>50</v>
      </c>
      <c r="C65" s="6">
        <v>1</v>
      </c>
      <c r="D65" s="6">
        <v>0</v>
      </c>
      <c r="E65" s="6">
        <v>109</v>
      </c>
      <c r="F65" s="38">
        <f t="shared" si="2"/>
        <v>110</v>
      </c>
      <c r="H65" s="7">
        <v>65</v>
      </c>
      <c r="I65" s="7">
        <v>0</v>
      </c>
      <c r="J65" s="7">
        <v>66.37</v>
      </c>
      <c r="K65" s="7">
        <v>66.36</v>
      </c>
      <c r="M65" s="59" t="s">
        <v>100</v>
      </c>
      <c r="N65" s="34">
        <v>231.55448000000001</v>
      </c>
      <c r="O65" s="34">
        <v>231.59363000000002</v>
      </c>
      <c r="Q65" s="59" t="s">
        <v>100</v>
      </c>
      <c r="R65" s="34">
        <v>3534.04</v>
      </c>
      <c r="S65" s="34">
        <v>3534.96</v>
      </c>
    </row>
    <row r="66" spans="1:19" x14ac:dyDescent="0.35">
      <c r="A66" s="112">
        <v>46</v>
      </c>
      <c r="B66" s="6" t="s">
        <v>51</v>
      </c>
      <c r="C66" s="6">
        <v>0</v>
      </c>
      <c r="D66" s="6">
        <v>0</v>
      </c>
      <c r="E66" s="6">
        <v>104</v>
      </c>
      <c r="F66" s="38">
        <f t="shared" si="2"/>
        <v>104</v>
      </c>
      <c r="H66" s="7">
        <v>0</v>
      </c>
      <c r="I66" s="7">
        <v>0</v>
      </c>
      <c r="J66" s="7">
        <v>62.88</v>
      </c>
      <c r="K66" s="7">
        <v>62.88</v>
      </c>
      <c r="M66" s="34">
        <v>0</v>
      </c>
      <c r="N66" s="34">
        <v>171.88269</v>
      </c>
      <c r="O66" s="34">
        <v>171.88269</v>
      </c>
      <c r="Q66" s="34">
        <v>0</v>
      </c>
      <c r="R66" s="34">
        <v>2733.18</v>
      </c>
      <c r="S66" s="34">
        <v>2733.18</v>
      </c>
    </row>
    <row r="67" spans="1:19" x14ac:dyDescent="0.35">
      <c r="A67" s="112">
        <v>47</v>
      </c>
      <c r="B67" s="6" t="s">
        <v>52</v>
      </c>
      <c r="C67" s="6">
        <v>0</v>
      </c>
      <c r="D67" s="6">
        <v>0</v>
      </c>
      <c r="E67" s="6">
        <v>1</v>
      </c>
      <c r="F67" s="38">
        <f t="shared" si="2"/>
        <v>1</v>
      </c>
      <c r="H67" s="7">
        <v>0</v>
      </c>
      <c r="I67" s="7">
        <v>0</v>
      </c>
      <c r="J67" s="7">
        <v>78</v>
      </c>
      <c r="K67" s="7">
        <v>78</v>
      </c>
      <c r="M67" s="34">
        <v>0</v>
      </c>
      <c r="N67" s="59" t="s">
        <v>100</v>
      </c>
      <c r="O67" s="59" t="s">
        <v>100</v>
      </c>
      <c r="Q67" s="34">
        <v>0</v>
      </c>
      <c r="R67" s="59" t="s">
        <v>100</v>
      </c>
      <c r="S67" s="59" t="s">
        <v>100</v>
      </c>
    </row>
    <row r="68" spans="1:19" x14ac:dyDescent="0.35">
      <c r="A68" s="112">
        <v>48</v>
      </c>
      <c r="B68" s="6" t="s">
        <v>53</v>
      </c>
      <c r="C68" s="6">
        <v>0</v>
      </c>
      <c r="D68" s="6">
        <v>0</v>
      </c>
      <c r="E68" s="6">
        <v>55</v>
      </c>
      <c r="F68" s="38">
        <f t="shared" si="2"/>
        <v>55</v>
      </c>
      <c r="H68" s="7">
        <v>0</v>
      </c>
      <c r="I68" s="7">
        <v>0</v>
      </c>
      <c r="J68" s="7">
        <v>73.8</v>
      </c>
      <c r="K68" s="7">
        <v>73.8</v>
      </c>
      <c r="M68" s="34">
        <v>0</v>
      </c>
      <c r="N68" s="34">
        <v>243.01007999999999</v>
      </c>
      <c r="O68" s="34">
        <v>243.01007999999999</v>
      </c>
      <c r="Q68" s="34">
        <v>0</v>
      </c>
      <c r="R68" s="34">
        <v>3336.52</v>
      </c>
      <c r="S68" s="34">
        <v>3336.52</v>
      </c>
    </row>
    <row r="69" spans="1:19" x14ac:dyDescent="0.35">
      <c r="A69" s="112">
        <v>49</v>
      </c>
      <c r="B69" s="6" t="s">
        <v>54</v>
      </c>
      <c r="C69" s="6">
        <v>0</v>
      </c>
      <c r="D69" s="6">
        <v>0</v>
      </c>
      <c r="E69" s="6">
        <v>17</v>
      </c>
      <c r="F69" s="38">
        <f t="shared" si="2"/>
        <v>17</v>
      </c>
      <c r="H69" s="7">
        <v>0</v>
      </c>
      <c r="I69" s="7">
        <v>0</v>
      </c>
      <c r="J69" s="7">
        <v>70.36</v>
      </c>
      <c r="K69" s="7">
        <v>70.36</v>
      </c>
      <c r="M69" s="34">
        <v>0</v>
      </c>
      <c r="N69" s="34">
        <v>208.9</v>
      </c>
      <c r="O69" s="34">
        <v>208.9</v>
      </c>
      <c r="Q69" s="34">
        <v>0</v>
      </c>
      <c r="R69" s="34">
        <v>3030.57</v>
      </c>
      <c r="S69" s="34">
        <v>3030.57</v>
      </c>
    </row>
    <row r="70" spans="1:19" x14ac:dyDescent="0.35">
      <c r="A70" s="112">
        <v>50</v>
      </c>
      <c r="B70" s="6" t="s">
        <v>55</v>
      </c>
      <c r="C70" s="6">
        <v>1</v>
      </c>
      <c r="D70" s="6">
        <v>0</v>
      </c>
      <c r="E70" s="6">
        <v>125</v>
      </c>
      <c r="F70" s="38">
        <f t="shared" si="2"/>
        <v>126</v>
      </c>
      <c r="H70" s="7">
        <v>220</v>
      </c>
      <c r="I70" s="7">
        <v>0</v>
      </c>
      <c r="J70" s="7">
        <v>60.39</v>
      </c>
      <c r="K70" s="7">
        <v>61.78</v>
      </c>
      <c r="M70" s="59" t="s">
        <v>100</v>
      </c>
      <c r="N70" s="34">
        <v>132.64327</v>
      </c>
      <c r="O70" s="34">
        <v>134.89822000000001</v>
      </c>
      <c r="Q70" s="59" t="s">
        <v>100</v>
      </c>
      <c r="R70" s="34">
        <v>2377.69</v>
      </c>
      <c r="S70" s="34">
        <v>2363.29</v>
      </c>
    </row>
    <row r="71" spans="1:19" x14ac:dyDescent="0.35">
      <c r="A71" s="112">
        <v>51</v>
      </c>
      <c r="B71" s="6" t="s">
        <v>56</v>
      </c>
      <c r="C71" s="6">
        <v>0</v>
      </c>
      <c r="D71" s="6">
        <v>0</v>
      </c>
      <c r="E71" s="6">
        <v>74</v>
      </c>
      <c r="F71" s="38">
        <f t="shared" si="2"/>
        <v>74</v>
      </c>
      <c r="H71" s="7">
        <v>0</v>
      </c>
      <c r="I71" s="7">
        <v>0</v>
      </c>
      <c r="J71" s="7">
        <v>55.2</v>
      </c>
      <c r="K71" s="7">
        <v>55.2</v>
      </c>
      <c r="M71" s="34">
        <v>0</v>
      </c>
      <c r="N71" s="34">
        <v>155.18707999999998</v>
      </c>
      <c r="O71" s="34">
        <v>155.18707999999998</v>
      </c>
      <c r="Q71" s="34">
        <v>0</v>
      </c>
      <c r="R71" s="34">
        <v>2789.97</v>
      </c>
      <c r="S71" s="34">
        <v>2789.97</v>
      </c>
    </row>
    <row r="72" spans="1:19" x14ac:dyDescent="0.35">
      <c r="A72" s="112">
        <v>52</v>
      </c>
      <c r="B72" s="6" t="s">
        <v>57</v>
      </c>
      <c r="C72" s="6">
        <v>2</v>
      </c>
      <c r="D72" s="6">
        <v>0</v>
      </c>
      <c r="E72" s="6">
        <v>143</v>
      </c>
      <c r="F72" s="38">
        <f t="shared" si="2"/>
        <v>145</v>
      </c>
      <c r="H72" s="7">
        <v>58</v>
      </c>
      <c r="I72" s="7">
        <v>0</v>
      </c>
      <c r="J72" s="7">
        <v>62.53</v>
      </c>
      <c r="K72" s="7">
        <v>62.5</v>
      </c>
      <c r="M72" s="59" t="s">
        <v>100</v>
      </c>
      <c r="N72" s="34">
        <v>193.23067</v>
      </c>
      <c r="O72" s="34">
        <v>193.78005999999999</v>
      </c>
      <c r="Q72" s="59" t="s">
        <v>100</v>
      </c>
      <c r="R72" s="34">
        <v>3162.74</v>
      </c>
      <c r="S72" s="34">
        <v>3173.48</v>
      </c>
    </row>
    <row r="73" spans="1:19" x14ac:dyDescent="0.35">
      <c r="A73" s="112">
        <v>53</v>
      </c>
      <c r="B73" s="6" t="s">
        <v>58</v>
      </c>
      <c r="C73" s="6">
        <v>0</v>
      </c>
      <c r="D73" s="6">
        <v>0</v>
      </c>
      <c r="E73" s="6">
        <v>44</v>
      </c>
      <c r="F73" s="38">
        <f t="shared" si="2"/>
        <v>44</v>
      </c>
      <c r="H73" s="7">
        <v>0</v>
      </c>
      <c r="I73" s="7">
        <v>0</v>
      </c>
      <c r="J73" s="7">
        <v>63.24</v>
      </c>
      <c r="K73" s="7">
        <v>63.24</v>
      </c>
      <c r="M73" s="34">
        <v>0</v>
      </c>
      <c r="N73" s="34">
        <v>137.35467</v>
      </c>
      <c r="O73" s="34">
        <v>137.35467</v>
      </c>
      <c r="Q73" s="34">
        <v>0</v>
      </c>
      <c r="R73" s="34">
        <v>2227.0300000000002</v>
      </c>
      <c r="S73" s="34">
        <v>2227.0300000000002</v>
      </c>
    </row>
    <row r="74" spans="1:19" x14ac:dyDescent="0.35">
      <c r="A74" s="112">
        <v>54</v>
      </c>
      <c r="B74" s="6" t="s">
        <v>59</v>
      </c>
      <c r="C74" s="6">
        <v>0</v>
      </c>
      <c r="D74" s="6">
        <v>0</v>
      </c>
      <c r="E74" s="6">
        <v>11</v>
      </c>
      <c r="F74" s="38">
        <f t="shared" si="2"/>
        <v>11</v>
      </c>
      <c r="H74" s="7">
        <v>0</v>
      </c>
      <c r="I74" s="7">
        <v>0</v>
      </c>
      <c r="J74" s="7">
        <v>65.430000000000007</v>
      </c>
      <c r="K74" s="7">
        <v>65.430000000000007</v>
      </c>
      <c r="M74" s="34">
        <v>0</v>
      </c>
      <c r="N74" s="34">
        <v>128.40789999999998</v>
      </c>
      <c r="O74" s="34">
        <v>128.40789999999998</v>
      </c>
      <c r="Q74" s="34">
        <v>0</v>
      </c>
      <c r="R74" s="34">
        <v>2141.44</v>
      </c>
      <c r="S74" s="34">
        <v>2141.44</v>
      </c>
    </row>
    <row r="75" spans="1:19" x14ac:dyDescent="0.35">
      <c r="A75" s="112">
        <v>55</v>
      </c>
      <c r="B75" s="6" t="s">
        <v>60</v>
      </c>
      <c r="C75" s="6">
        <v>0</v>
      </c>
      <c r="D75" s="6">
        <v>0</v>
      </c>
      <c r="E75" s="6">
        <v>87</v>
      </c>
      <c r="F75" s="38">
        <f t="shared" si="2"/>
        <v>87</v>
      </c>
      <c r="H75" s="7">
        <v>0</v>
      </c>
      <c r="I75" s="7">
        <v>0</v>
      </c>
      <c r="J75" s="7">
        <v>61</v>
      </c>
      <c r="K75" s="7">
        <v>61</v>
      </c>
      <c r="M75" s="34">
        <v>0</v>
      </c>
      <c r="N75" s="34">
        <v>109.13087</v>
      </c>
      <c r="O75" s="34">
        <v>109.13087</v>
      </c>
      <c r="Q75" s="34">
        <v>0</v>
      </c>
      <c r="R75" s="34">
        <v>1830.62</v>
      </c>
      <c r="S75" s="34">
        <v>1830.62</v>
      </c>
    </row>
    <row r="76" spans="1:19" x14ac:dyDescent="0.35">
      <c r="A76" s="112">
        <v>56</v>
      </c>
      <c r="B76" s="6" t="s">
        <v>78</v>
      </c>
      <c r="C76" s="6">
        <v>0</v>
      </c>
      <c r="D76" s="6">
        <v>0</v>
      </c>
      <c r="E76" s="6">
        <v>3</v>
      </c>
      <c r="F76" s="38">
        <f t="shared" si="2"/>
        <v>3</v>
      </c>
      <c r="H76" s="7">
        <v>0</v>
      </c>
      <c r="I76" s="7">
        <v>0</v>
      </c>
      <c r="J76" s="7">
        <v>82.5</v>
      </c>
      <c r="K76" s="7">
        <v>82.5</v>
      </c>
      <c r="M76" s="34">
        <v>0</v>
      </c>
      <c r="N76" s="34">
        <v>218.75</v>
      </c>
      <c r="O76" s="34">
        <v>218.75</v>
      </c>
      <c r="Q76" s="34">
        <v>0</v>
      </c>
      <c r="R76" s="34">
        <v>2605.56</v>
      </c>
      <c r="S76" s="34">
        <v>2605.56</v>
      </c>
    </row>
    <row r="77" spans="1:19" x14ac:dyDescent="0.35">
      <c r="A77" s="112">
        <v>57</v>
      </c>
      <c r="B77" s="6" t="s">
        <v>61</v>
      </c>
      <c r="C77" s="6">
        <v>1</v>
      </c>
      <c r="D77" s="6">
        <v>0</v>
      </c>
      <c r="E77" s="6">
        <v>80</v>
      </c>
      <c r="F77" s="38">
        <f t="shared" si="2"/>
        <v>81</v>
      </c>
      <c r="H77" s="7">
        <v>115</v>
      </c>
      <c r="I77" s="7">
        <v>0</v>
      </c>
      <c r="J77" s="7">
        <v>60.81</v>
      </c>
      <c r="K77" s="7">
        <v>61.5</v>
      </c>
      <c r="M77" s="59" t="s">
        <v>100</v>
      </c>
      <c r="N77" s="34">
        <v>135.13909000000001</v>
      </c>
      <c r="O77" s="34">
        <v>136.59849</v>
      </c>
      <c r="Q77" s="59" t="s">
        <v>100</v>
      </c>
      <c r="R77" s="34">
        <v>2308.98</v>
      </c>
      <c r="S77" s="34">
        <v>2304.23</v>
      </c>
    </row>
    <row r="78" spans="1:19" x14ac:dyDescent="0.35">
      <c r="A78" s="112">
        <v>58</v>
      </c>
      <c r="B78" s="6" t="s">
        <v>62</v>
      </c>
      <c r="C78" s="6">
        <v>0</v>
      </c>
      <c r="D78" s="6">
        <v>0</v>
      </c>
      <c r="E78" s="6">
        <v>12</v>
      </c>
      <c r="F78" s="38">
        <f t="shared" si="2"/>
        <v>12</v>
      </c>
      <c r="H78" s="7">
        <v>0</v>
      </c>
      <c r="I78" s="7">
        <v>0</v>
      </c>
      <c r="J78" s="7">
        <v>70.430000000000007</v>
      </c>
      <c r="K78" s="7">
        <v>70.430000000000007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</row>
    <row r="79" spans="1:19" x14ac:dyDescent="0.35">
      <c r="A79" s="112">
        <v>59</v>
      </c>
      <c r="B79" s="6" t="s">
        <v>63</v>
      </c>
      <c r="C79" s="6">
        <v>5</v>
      </c>
      <c r="D79" s="6">
        <v>0</v>
      </c>
      <c r="E79" s="6">
        <v>73</v>
      </c>
      <c r="F79" s="38">
        <f t="shared" si="2"/>
        <v>78</v>
      </c>
      <c r="H79" s="7">
        <v>101.2</v>
      </c>
      <c r="I79" s="7">
        <v>0</v>
      </c>
      <c r="J79" s="7">
        <v>70.540000000000006</v>
      </c>
      <c r="K79" s="7">
        <v>72.67</v>
      </c>
      <c r="M79" s="34">
        <v>201.02773000000002</v>
      </c>
      <c r="N79" s="34">
        <v>192.74716000000001</v>
      </c>
      <c r="O79" s="34">
        <v>193.38413</v>
      </c>
      <c r="Q79" s="34">
        <v>1885.58</v>
      </c>
      <c r="R79" s="34">
        <v>2692.93</v>
      </c>
      <c r="S79" s="34">
        <v>2630.83</v>
      </c>
    </row>
    <row r="80" spans="1:19" x14ac:dyDescent="0.35">
      <c r="A80" s="112">
        <v>60</v>
      </c>
      <c r="B80" s="6" t="s">
        <v>64</v>
      </c>
      <c r="C80" s="6">
        <v>12</v>
      </c>
      <c r="D80" s="6">
        <v>4</v>
      </c>
      <c r="E80" s="6">
        <v>232</v>
      </c>
      <c r="F80" s="38">
        <f t="shared" si="2"/>
        <v>248</v>
      </c>
      <c r="H80" s="7">
        <v>69.08</v>
      </c>
      <c r="I80" s="7">
        <v>66</v>
      </c>
      <c r="J80" s="7">
        <v>76.19</v>
      </c>
      <c r="K80" s="7">
        <v>75.67</v>
      </c>
      <c r="M80" s="34">
        <v>437.35</v>
      </c>
      <c r="N80" s="34">
        <v>294.65502000000004</v>
      </c>
      <c r="O80" s="34">
        <v>302.58252000000005</v>
      </c>
      <c r="Q80" s="34">
        <v>6560.23</v>
      </c>
      <c r="R80" s="34">
        <v>3981.23</v>
      </c>
      <c r="S80" s="34">
        <v>4124.51</v>
      </c>
    </row>
    <row r="81" spans="1:19" x14ac:dyDescent="0.35">
      <c r="A81" s="112">
        <v>61</v>
      </c>
      <c r="B81" s="6" t="s">
        <v>65</v>
      </c>
      <c r="C81" s="6">
        <v>32</v>
      </c>
      <c r="D81" s="6">
        <v>0</v>
      </c>
      <c r="E81" s="6">
        <v>80</v>
      </c>
      <c r="F81" s="38">
        <f t="shared" si="2"/>
        <v>112</v>
      </c>
      <c r="H81" s="7">
        <v>76.58</v>
      </c>
      <c r="I81" s="7">
        <v>0</v>
      </c>
      <c r="J81" s="7">
        <v>73.040000000000006</v>
      </c>
      <c r="K81" s="7">
        <v>74.099999999999994</v>
      </c>
      <c r="M81" s="34">
        <v>441.16128999999995</v>
      </c>
      <c r="N81" s="34">
        <v>293.68571000000003</v>
      </c>
      <c r="O81" s="34">
        <v>346.23447999999996</v>
      </c>
      <c r="Q81" s="34">
        <v>5783.02</v>
      </c>
      <c r="R81" s="34">
        <v>4071.67</v>
      </c>
      <c r="S81" s="34">
        <v>4681.46</v>
      </c>
    </row>
    <row r="82" spans="1:19" x14ac:dyDescent="0.35">
      <c r="A82" s="112">
        <v>62</v>
      </c>
      <c r="B82" s="6" t="s">
        <v>66</v>
      </c>
      <c r="C82" s="6">
        <v>6</v>
      </c>
      <c r="D82" s="6">
        <v>0</v>
      </c>
      <c r="E82" s="6">
        <v>70</v>
      </c>
      <c r="F82" s="38">
        <f t="shared" si="2"/>
        <v>76</v>
      </c>
      <c r="H82" s="7">
        <v>101</v>
      </c>
      <c r="I82" s="7">
        <v>0</v>
      </c>
      <c r="J82" s="7">
        <v>70.19</v>
      </c>
      <c r="K82" s="7">
        <v>72.33</v>
      </c>
      <c r="M82" s="34">
        <v>458.69749999999999</v>
      </c>
      <c r="N82" s="34">
        <v>262.00646</v>
      </c>
      <c r="O82" s="34">
        <v>273.57652000000002</v>
      </c>
      <c r="Q82" s="34">
        <v>4880.13</v>
      </c>
      <c r="R82" s="34">
        <v>3764.42</v>
      </c>
      <c r="S82" s="34">
        <v>3830.05</v>
      </c>
    </row>
    <row r="83" spans="1:19" x14ac:dyDescent="0.35">
      <c r="A83" s="112">
        <v>63</v>
      </c>
      <c r="B83" s="1" t="s">
        <v>67</v>
      </c>
      <c r="C83" s="6">
        <v>1</v>
      </c>
      <c r="D83" s="6">
        <v>0</v>
      </c>
      <c r="E83" s="6">
        <v>66</v>
      </c>
      <c r="F83" s="38">
        <f t="shared" si="2"/>
        <v>67</v>
      </c>
      <c r="H83" s="7">
        <v>80</v>
      </c>
      <c r="I83" s="7">
        <v>0</v>
      </c>
      <c r="J83" s="7">
        <v>75.67</v>
      </c>
      <c r="K83" s="7">
        <v>75.739999999999995</v>
      </c>
      <c r="M83" s="59" t="s">
        <v>100</v>
      </c>
      <c r="N83" s="34">
        <v>302.91338000000002</v>
      </c>
      <c r="O83" s="34">
        <v>306.45064000000002</v>
      </c>
      <c r="Q83" s="59" t="s">
        <v>100</v>
      </c>
      <c r="R83" s="34">
        <v>4058.29</v>
      </c>
      <c r="S83" s="34">
        <v>4097.6499999999996</v>
      </c>
    </row>
    <row r="84" spans="1:19" x14ac:dyDescent="0.35">
      <c r="A84" s="112">
        <v>64</v>
      </c>
      <c r="B84" s="1" t="s">
        <v>68</v>
      </c>
      <c r="C84" s="6">
        <v>0</v>
      </c>
      <c r="D84" s="6">
        <v>0</v>
      </c>
      <c r="E84" s="6">
        <v>142</v>
      </c>
      <c r="F84" s="38">
        <f t="shared" si="2"/>
        <v>142</v>
      </c>
      <c r="H84" s="7">
        <v>0</v>
      </c>
      <c r="I84" s="7">
        <v>0</v>
      </c>
      <c r="J84" s="7">
        <v>72.06</v>
      </c>
      <c r="K84" s="7">
        <v>72.06</v>
      </c>
      <c r="M84" s="34">
        <v>0</v>
      </c>
      <c r="N84" s="34">
        <v>314.3707</v>
      </c>
      <c r="O84" s="34">
        <v>314.3707</v>
      </c>
      <c r="Q84" s="34">
        <v>0</v>
      </c>
      <c r="R84" s="34">
        <v>4539</v>
      </c>
      <c r="S84" s="34">
        <v>4539</v>
      </c>
    </row>
    <row r="85" spans="1:19" x14ac:dyDescent="0.35">
      <c r="A85" s="112">
        <v>65</v>
      </c>
      <c r="B85" s="1" t="s">
        <v>69</v>
      </c>
      <c r="C85" s="6">
        <v>4</v>
      </c>
      <c r="D85" s="6">
        <v>0</v>
      </c>
      <c r="E85" s="6">
        <v>82</v>
      </c>
      <c r="F85" s="38">
        <f t="shared" ref="F85:F93" si="3">SUM(C85:E85)</f>
        <v>86</v>
      </c>
      <c r="H85" s="7">
        <v>39.67</v>
      </c>
      <c r="I85" s="7">
        <v>0</v>
      </c>
      <c r="J85" s="7">
        <v>69.069999999999993</v>
      </c>
      <c r="K85" s="7">
        <v>67.95</v>
      </c>
      <c r="M85" s="34">
        <v>188.5</v>
      </c>
      <c r="N85" s="34">
        <v>300.62283000000002</v>
      </c>
      <c r="O85" s="34">
        <v>294.72163</v>
      </c>
      <c r="Q85" s="34">
        <v>5097.29</v>
      </c>
      <c r="R85" s="34">
        <v>4547.55</v>
      </c>
      <c r="S85" s="34">
        <v>4576.4799999999996</v>
      </c>
    </row>
    <row r="86" spans="1:19" x14ac:dyDescent="0.35">
      <c r="A86" s="112">
        <v>66</v>
      </c>
      <c r="B86" s="1" t="s">
        <v>70</v>
      </c>
      <c r="C86" s="6">
        <v>1</v>
      </c>
      <c r="D86" s="6">
        <v>1</v>
      </c>
      <c r="E86" s="6">
        <v>56</v>
      </c>
      <c r="F86" s="38">
        <f t="shared" si="3"/>
        <v>58</v>
      </c>
      <c r="H86" s="7">
        <v>68</v>
      </c>
      <c r="I86" s="7">
        <v>63</v>
      </c>
      <c r="J86" s="7">
        <v>73.83</v>
      </c>
      <c r="K86" s="7">
        <v>73.53</v>
      </c>
      <c r="M86" s="59" t="s">
        <v>100</v>
      </c>
      <c r="N86" s="34">
        <v>372.91509000000002</v>
      </c>
      <c r="O86" s="34">
        <v>372.12036999999998</v>
      </c>
      <c r="Q86" s="59" t="s">
        <v>100</v>
      </c>
      <c r="R86" s="34">
        <v>5157.6899999999996</v>
      </c>
      <c r="S86" s="34">
        <v>5152.05</v>
      </c>
    </row>
    <row r="87" spans="1:19" x14ac:dyDescent="0.35">
      <c r="A87" s="112">
        <v>67</v>
      </c>
      <c r="B87" s="1" t="s">
        <v>71</v>
      </c>
      <c r="C87" s="6">
        <v>3</v>
      </c>
      <c r="D87" s="6">
        <v>0</v>
      </c>
      <c r="E87" s="6">
        <v>45</v>
      </c>
      <c r="F87" s="38">
        <f t="shared" si="3"/>
        <v>48</v>
      </c>
      <c r="H87" s="7">
        <v>57.67</v>
      </c>
      <c r="I87" s="7">
        <v>0</v>
      </c>
      <c r="J87" s="7">
        <v>87.18</v>
      </c>
      <c r="K87" s="7">
        <v>85.3</v>
      </c>
      <c r="M87" s="34">
        <v>425.06666999999999</v>
      </c>
      <c r="N87" s="34">
        <v>501.74190999999996</v>
      </c>
      <c r="O87" s="34">
        <v>496.84775000000002</v>
      </c>
      <c r="Q87" s="34">
        <v>7433.26</v>
      </c>
      <c r="R87" s="34">
        <v>5865.85</v>
      </c>
      <c r="S87" s="34">
        <v>5965.9</v>
      </c>
    </row>
    <row r="88" spans="1:19" x14ac:dyDescent="0.35">
      <c r="A88" s="112">
        <v>68</v>
      </c>
      <c r="B88" s="1" t="s">
        <v>72</v>
      </c>
      <c r="C88" s="6">
        <v>27</v>
      </c>
      <c r="D88" s="6">
        <v>1</v>
      </c>
      <c r="E88" s="6">
        <v>137</v>
      </c>
      <c r="F88" s="38">
        <f t="shared" si="3"/>
        <v>165</v>
      </c>
      <c r="H88" s="7">
        <v>76.040000000000006</v>
      </c>
      <c r="I88" s="7">
        <v>83</v>
      </c>
      <c r="J88" s="7">
        <v>72.55</v>
      </c>
      <c r="K88" s="7">
        <v>73.209999999999994</v>
      </c>
      <c r="M88" s="34">
        <v>473.05167</v>
      </c>
      <c r="N88" s="34">
        <v>410.13995</v>
      </c>
      <c r="O88" s="34">
        <v>421.54005999999998</v>
      </c>
      <c r="Q88" s="34">
        <v>6331.84</v>
      </c>
      <c r="R88" s="34">
        <v>5678.69</v>
      </c>
      <c r="S88" s="34">
        <v>5797.05</v>
      </c>
    </row>
    <row r="89" spans="1:19" x14ac:dyDescent="0.35">
      <c r="A89" s="112">
        <v>69</v>
      </c>
      <c r="B89" s="1" t="s">
        <v>73</v>
      </c>
      <c r="C89" s="6">
        <v>38</v>
      </c>
      <c r="D89" s="6">
        <v>2</v>
      </c>
      <c r="E89" s="6">
        <v>62</v>
      </c>
      <c r="F89" s="38">
        <f t="shared" si="3"/>
        <v>102</v>
      </c>
      <c r="H89" s="7">
        <v>64.540000000000006</v>
      </c>
      <c r="I89" s="7">
        <v>69</v>
      </c>
      <c r="J89" s="7">
        <v>101.54</v>
      </c>
      <c r="K89" s="7">
        <v>87.38</v>
      </c>
      <c r="M89" s="34">
        <v>445.57567999999998</v>
      </c>
      <c r="N89" s="34">
        <v>606.02383999999995</v>
      </c>
      <c r="O89" s="34">
        <v>542.86870999999996</v>
      </c>
      <c r="Q89" s="34">
        <v>6836.75</v>
      </c>
      <c r="R89" s="34">
        <v>5906.65</v>
      </c>
      <c r="S89" s="34">
        <v>6272.75</v>
      </c>
    </row>
    <row r="90" spans="1:19" x14ac:dyDescent="0.35">
      <c r="A90" s="112">
        <v>70</v>
      </c>
      <c r="B90" s="1" t="s">
        <v>74</v>
      </c>
      <c r="C90" s="6">
        <v>6</v>
      </c>
      <c r="D90" s="6">
        <v>4</v>
      </c>
      <c r="E90" s="6">
        <v>151</v>
      </c>
      <c r="F90" s="38">
        <f t="shared" si="3"/>
        <v>161</v>
      </c>
      <c r="H90" s="7">
        <v>115.2</v>
      </c>
      <c r="I90" s="7">
        <v>70</v>
      </c>
      <c r="J90" s="7">
        <v>60.09</v>
      </c>
      <c r="K90" s="7">
        <v>62.31</v>
      </c>
      <c r="M90" s="34">
        <v>661</v>
      </c>
      <c r="N90" s="34">
        <v>156.08204999999998</v>
      </c>
      <c r="O90" s="34">
        <v>176.27876999999998</v>
      </c>
      <c r="Q90" s="34">
        <v>4445.33</v>
      </c>
      <c r="R90" s="34">
        <v>2526.25</v>
      </c>
      <c r="S90" s="34">
        <v>2603.0100000000002</v>
      </c>
    </row>
    <row r="91" spans="1:19" x14ac:dyDescent="0.35">
      <c r="A91" s="112">
        <v>71</v>
      </c>
      <c r="B91" s="1" t="s">
        <v>75</v>
      </c>
      <c r="C91" s="6">
        <v>19</v>
      </c>
      <c r="D91" s="6">
        <v>6</v>
      </c>
      <c r="E91" s="6">
        <v>66</v>
      </c>
      <c r="F91" s="38">
        <f t="shared" si="3"/>
        <v>91</v>
      </c>
      <c r="H91" s="7">
        <v>74.739999999999995</v>
      </c>
      <c r="I91" s="7">
        <v>74.17</v>
      </c>
      <c r="J91" s="7">
        <v>79.08</v>
      </c>
      <c r="K91" s="7">
        <v>77.84</v>
      </c>
      <c r="M91" s="34">
        <v>392.14946999999995</v>
      </c>
      <c r="N91" s="34">
        <v>379.50170000000003</v>
      </c>
      <c r="O91" s="34">
        <v>382.62258000000003</v>
      </c>
      <c r="Q91" s="34">
        <v>4987.3900000000003</v>
      </c>
      <c r="R91" s="34">
        <v>4756.33</v>
      </c>
      <c r="S91" s="34">
        <v>4813.34</v>
      </c>
    </row>
    <row r="92" spans="1:19" x14ac:dyDescent="0.35">
      <c r="A92" s="112">
        <v>72</v>
      </c>
      <c r="B92" s="1" t="s">
        <v>76</v>
      </c>
      <c r="C92" s="6">
        <v>0</v>
      </c>
      <c r="D92" s="6">
        <v>0</v>
      </c>
      <c r="E92" s="6">
        <v>96</v>
      </c>
      <c r="F92" s="38">
        <f t="shared" si="3"/>
        <v>96</v>
      </c>
      <c r="H92" s="7">
        <v>0</v>
      </c>
      <c r="I92" s="7">
        <v>0</v>
      </c>
      <c r="J92" s="7">
        <v>71.650000000000006</v>
      </c>
      <c r="K92" s="7">
        <v>71.650000000000006</v>
      </c>
      <c r="M92" s="34">
        <v>0</v>
      </c>
      <c r="N92" s="34">
        <v>237.56075000000001</v>
      </c>
      <c r="O92" s="34">
        <v>237.56075000000001</v>
      </c>
      <c r="Q92" s="34">
        <v>0</v>
      </c>
      <c r="R92" s="34">
        <v>3377.1</v>
      </c>
      <c r="S92" s="34">
        <v>3377.1</v>
      </c>
    </row>
    <row r="93" spans="1:19" x14ac:dyDescent="0.35">
      <c r="A93" s="113">
        <v>73</v>
      </c>
      <c r="B93" s="24" t="s">
        <v>77</v>
      </c>
      <c r="C93" s="27">
        <v>2</v>
      </c>
      <c r="D93" s="27">
        <v>0</v>
      </c>
      <c r="E93" s="27">
        <v>204</v>
      </c>
      <c r="F93" s="39">
        <f t="shared" si="3"/>
        <v>206</v>
      </c>
      <c r="G93" s="24"/>
      <c r="H93" s="25">
        <v>86.5</v>
      </c>
      <c r="I93" s="25">
        <v>0</v>
      </c>
      <c r="J93" s="25">
        <v>70.31</v>
      </c>
      <c r="K93" s="25">
        <v>70.48</v>
      </c>
      <c r="L93" s="25"/>
      <c r="M93" s="60" t="s">
        <v>100</v>
      </c>
      <c r="N93" s="37">
        <v>297.38103000000001</v>
      </c>
      <c r="O93" s="37">
        <v>299.65355</v>
      </c>
      <c r="P93" s="37"/>
      <c r="Q93" s="60" t="s">
        <v>100</v>
      </c>
      <c r="R93" s="37">
        <v>4255.72</v>
      </c>
      <c r="S93" s="37">
        <v>4272.25</v>
      </c>
    </row>
    <row r="95" spans="1:19" x14ac:dyDescent="0.35">
      <c r="B95" s="114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CC38-CFF6-41E5-A52E-483169153325}">
  <dimension ref="A1:S95"/>
  <sheetViews>
    <sheetView workbookViewId="0"/>
  </sheetViews>
  <sheetFormatPr defaultColWidth="11.3984375" defaultRowHeight="11.65" x14ac:dyDescent="0.35"/>
  <cols>
    <col min="1" max="1" width="4.86328125" style="62" customWidth="1"/>
    <col min="2" max="2" width="35.73046875" style="62" customWidth="1"/>
    <col min="3" max="6" width="10.73046875" style="63" customWidth="1"/>
    <col min="7" max="7" width="2.73046875" style="62" customWidth="1"/>
    <col min="8" max="11" width="10.73046875" style="64" customWidth="1"/>
    <col min="12" max="12" width="2.73046875" style="64" customWidth="1"/>
    <col min="13" max="15" width="10.73046875" style="65" customWidth="1"/>
    <col min="16" max="16" width="2.73046875" style="65" customWidth="1"/>
    <col min="17" max="19" width="10.73046875" style="65" customWidth="1"/>
    <col min="20" max="16384" width="11.3984375" style="62"/>
  </cols>
  <sheetData>
    <row r="1" spans="1:19" ht="13.9" x14ac:dyDescent="0.4">
      <c r="A1" s="61" t="s">
        <v>91</v>
      </c>
    </row>
    <row r="2" spans="1:19" ht="13.15" x14ac:dyDescent="0.4">
      <c r="A2" s="66" t="s">
        <v>98</v>
      </c>
    </row>
    <row r="4" spans="1:19" ht="13.9" x14ac:dyDescent="0.35">
      <c r="C4" s="67" t="s">
        <v>4</v>
      </c>
      <c r="D4" s="68"/>
      <c r="E4" s="68"/>
      <c r="F4" s="68"/>
      <c r="H4" s="69" t="s">
        <v>92</v>
      </c>
      <c r="I4" s="70"/>
      <c r="J4" s="70"/>
      <c r="K4" s="70"/>
      <c r="M4" s="71" t="s">
        <v>6</v>
      </c>
      <c r="N4" s="71"/>
      <c r="O4" s="71"/>
      <c r="Q4" s="71" t="s">
        <v>7</v>
      </c>
      <c r="R4" s="71"/>
      <c r="S4" s="71"/>
    </row>
    <row r="5" spans="1:19" s="79" customFormat="1" ht="23.25" x14ac:dyDescent="0.35">
      <c r="A5" s="72" t="s">
        <v>90</v>
      </c>
      <c r="B5" s="72"/>
      <c r="C5" s="73" t="s">
        <v>0</v>
      </c>
      <c r="D5" s="73" t="s">
        <v>1</v>
      </c>
      <c r="E5" s="73" t="s">
        <v>2</v>
      </c>
      <c r="F5" s="73" t="s">
        <v>3</v>
      </c>
      <c r="G5" s="74"/>
      <c r="H5" s="75" t="s">
        <v>0</v>
      </c>
      <c r="I5" s="75" t="s">
        <v>1</v>
      </c>
      <c r="J5" s="75" t="s">
        <v>2</v>
      </c>
      <c r="K5" s="75" t="s">
        <v>3</v>
      </c>
      <c r="L5" s="76"/>
      <c r="M5" s="77" t="s">
        <v>5</v>
      </c>
      <c r="N5" s="77" t="s">
        <v>2</v>
      </c>
      <c r="O5" s="77" t="s">
        <v>3</v>
      </c>
      <c r="P5" s="78"/>
      <c r="Q5" s="77" t="s">
        <v>5</v>
      </c>
      <c r="R5" s="77" t="s">
        <v>2</v>
      </c>
      <c r="S5" s="77" t="s">
        <v>3</v>
      </c>
    </row>
    <row r="6" spans="1:19" s="80" customFormat="1" x14ac:dyDescent="0.35">
      <c r="B6" s="81" t="s">
        <v>94</v>
      </c>
      <c r="C6" s="63">
        <v>303</v>
      </c>
      <c r="D6" s="63">
        <v>26</v>
      </c>
      <c r="E6" s="63">
        <v>3511</v>
      </c>
      <c r="F6" s="63">
        <f t="shared" ref="F6" si="0">SUM(C6:E6)</f>
        <v>3840</v>
      </c>
      <c r="G6" s="62"/>
      <c r="H6" s="64">
        <v>76.75</v>
      </c>
      <c r="I6" s="64">
        <v>72.86</v>
      </c>
      <c r="J6" s="64">
        <v>78.52</v>
      </c>
      <c r="K6" s="64">
        <v>78.349999999999994</v>
      </c>
      <c r="L6" s="62"/>
      <c r="M6" s="65">
        <v>425.23808000000002</v>
      </c>
      <c r="N6" s="65">
        <v>387.40429</v>
      </c>
      <c r="O6" s="65">
        <v>390.49301000000003</v>
      </c>
      <c r="P6" s="65"/>
      <c r="Q6" s="65">
        <v>5414.79</v>
      </c>
      <c r="R6" s="65">
        <v>4653.28</v>
      </c>
      <c r="S6" s="65">
        <v>4715.45</v>
      </c>
    </row>
    <row r="7" spans="1:19" s="80" customFormat="1" x14ac:dyDescent="0.35">
      <c r="B7" s="82"/>
      <c r="C7" s="83"/>
      <c r="D7" s="83"/>
      <c r="E7" s="83"/>
      <c r="F7" s="83"/>
      <c r="G7" s="82"/>
      <c r="H7" s="32"/>
      <c r="I7" s="32"/>
      <c r="J7" s="32"/>
      <c r="K7" s="32"/>
      <c r="L7" s="84"/>
      <c r="M7" s="36"/>
      <c r="N7" s="36"/>
      <c r="O7" s="36"/>
      <c r="P7" s="57"/>
      <c r="Q7" s="36"/>
      <c r="R7" s="36"/>
      <c r="S7" s="36"/>
    </row>
    <row r="8" spans="1:19" s="80" customFormat="1" x14ac:dyDescent="0.35">
      <c r="B8" s="85" t="s">
        <v>88</v>
      </c>
      <c r="C8" s="83"/>
      <c r="D8" s="83"/>
      <c r="E8" s="83"/>
      <c r="F8" s="83"/>
      <c r="G8" s="82"/>
      <c r="H8" s="32"/>
      <c r="I8" s="32"/>
      <c r="J8" s="32"/>
      <c r="K8" s="32"/>
      <c r="L8" s="84"/>
      <c r="M8" s="36"/>
      <c r="N8" s="36"/>
      <c r="O8" s="36"/>
      <c r="P8" s="57"/>
      <c r="Q8" s="36"/>
      <c r="R8" s="36"/>
      <c r="S8" s="36"/>
    </row>
    <row r="9" spans="1:19" s="80" customFormat="1" x14ac:dyDescent="0.35">
      <c r="A9" s="86">
        <v>1</v>
      </c>
      <c r="B9" s="82" t="s">
        <v>79</v>
      </c>
      <c r="C9" s="83">
        <v>13</v>
      </c>
      <c r="D9" s="83">
        <v>0</v>
      </c>
      <c r="E9" s="83">
        <v>368</v>
      </c>
      <c r="F9" s="83">
        <f t="shared" ref="F9:F18" si="1">SUM(C9:E9)</f>
        <v>381</v>
      </c>
      <c r="G9" s="82"/>
      <c r="H9" s="32">
        <v>51.2</v>
      </c>
      <c r="I9" s="32">
        <v>0</v>
      </c>
      <c r="J9" s="32">
        <v>64.150000000000006</v>
      </c>
      <c r="K9" s="32">
        <v>63.77</v>
      </c>
      <c r="L9" s="84"/>
      <c r="M9" s="36">
        <v>309.2</v>
      </c>
      <c r="N9" s="36">
        <v>270.85894999999999</v>
      </c>
      <c r="O9" s="36">
        <v>272.00006000000002</v>
      </c>
      <c r="P9" s="57"/>
      <c r="Q9" s="36">
        <v>5826.32</v>
      </c>
      <c r="R9" s="36">
        <v>4384.6400000000003</v>
      </c>
      <c r="S9" s="36">
        <v>4427.55</v>
      </c>
    </row>
    <row r="10" spans="1:19" s="80" customFormat="1" x14ac:dyDescent="0.35">
      <c r="A10" s="86">
        <v>2</v>
      </c>
      <c r="B10" s="82" t="s">
        <v>80</v>
      </c>
      <c r="C10" s="83">
        <v>104</v>
      </c>
      <c r="D10" s="83">
        <v>5</v>
      </c>
      <c r="E10" s="83">
        <v>488</v>
      </c>
      <c r="F10" s="83">
        <f t="shared" si="1"/>
        <v>597</v>
      </c>
      <c r="G10" s="82"/>
      <c r="H10" s="32">
        <v>87.56</v>
      </c>
      <c r="I10" s="32">
        <v>96</v>
      </c>
      <c r="J10" s="32">
        <v>93.31</v>
      </c>
      <c r="K10" s="32">
        <v>92.44</v>
      </c>
      <c r="L10" s="84"/>
      <c r="M10" s="36">
        <v>594.46849999999995</v>
      </c>
      <c r="N10" s="36">
        <v>524.20296999999994</v>
      </c>
      <c r="O10" s="36">
        <v>535.37840000000006</v>
      </c>
      <c r="P10" s="57"/>
      <c r="Q10" s="36">
        <v>6562.3</v>
      </c>
      <c r="R10" s="36">
        <v>5555.24</v>
      </c>
      <c r="S10" s="36">
        <v>5715.41</v>
      </c>
    </row>
    <row r="11" spans="1:19" s="80" customFormat="1" x14ac:dyDescent="0.35">
      <c r="A11" s="86">
        <v>3</v>
      </c>
      <c r="B11" s="82" t="s">
        <v>81</v>
      </c>
      <c r="C11" s="83">
        <v>30</v>
      </c>
      <c r="D11" s="83">
        <v>3</v>
      </c>
      <c r="E11" s="83">
        <v>426</v>
      </c>
      <c r="F11" s="83">
        <f t="shared" si="1"/>
        <v>459</v>
      </c>
      <c r="G11" s="82"/>
      <c r="H11" s="32">
        <v>67.14</v>
      </c>
      <c r="I11" s="32">
        <v>65</v>
      </c>
      <c r="J11" s="32">
        <v>65.64</v>
      </c>
      <c r="K11" s="32">
        <v>65.739999999999995</v>
      </c>
      <c r="L11" s="84"/>
      <c r="M11" s="36">
        <v>359.35106999999999</v>
      </c>
      <c r="N11" s="36">
        <v>272.52694000000002</v>
      </c>
      <c r="O11" s="36">
        <v>279.24261999999999</v>
      </c>
      <c r="P11" s="57"/>
      <c r="Q11" s="36">
        <v>5290.5</v>
      </c>
      <c r="R11" s="36">
        <v>4253.45</v>
      </c>
      <c r="S11" s="36">
        <v>4333.66</v>
      </c>
    </row>
    <row r="12" spans="1:19" s="80" customFormat="1" x14ac:dyDescent="0.35">
      <c r="A12" s="86">
        <v>4</v>
      </c>
      <c r="B12" s="82" t="s">
        <v>82</v>
      </c>
      <c r="C12" s="83">
        <v>3</v>
      </c>
      <c r="D12" s="83">
        <v>0</v>
      </c>
      <c r="E12" s="83">
        <v>163</v>
      </c>
      <c r="F12" s="83">
        <f t="shared" si="1"/>
        <v>166</v>
      </c>
      <c r="G12" s="82"/>
      <c r="H12" s="32">
        <v>0</v>
      </c>
      <c r="I12" s="32">
        <v>0</v>
      </c>
      <c r="J12" s="32">
        <v>97.33</v>
      </c>
      <c r="K12" s="32">
        <v>97.33</v>
      </c>
      <c r="L12" s="84"/>
      <c r="M12" s="36">
        <v>0</v>
      </c>
      <c r="N12" s="36">
        <v>643.20054000000005</v>
      </c>
      <c r="O12" s="36">
        <v>643.20054000000005</v>
      </c>
      <c r="P12" s="57"/>
      <c r="Q12" s="36">
        <v>0</v>
      </c>
      <c r="R12" s="36">
        <v>5870.82</v>
      </c>
      <c r="S12" s="36">
        <v>5870.82</v>
      </c>
    </row>
    <row r="13" spans="1:19" s="80" customFormat="1" x14ac:dyDescent="0.35">
      <c r="A13" s="86">
        <v>5</v>
      </c>
      <c r="B13" s="82" t="s">
        <v>83</v>
      </c>
      <c r="C13" s="83">
        <v>8</v>
      </c>
      <c r="D13" s="83">
        <v>0</v>
      </c>
      <c r="E13" s="83">
        <v>328</v>
      </c>
      <c r="F13" s="83">
        <f t="shared" si="1"/>
        <v>336</v>
      </c>
      <c r="G13" s="82"/>
      <c r="H13" s="32">
        <v>93.25</v>
      </c>
      <c r="I13" s="32">
        <v>0</v>
      </c>
      <c r="J13" s="32">
        <v>122.96</v>
      </c>
      <c r="K13" s="32">
        <v>122.56</v>
      </c>
      <c r="L13" s="84"/>
      <c r="M13" s="36">
        <v>722.68342000000007</v>
      </c>
      <c r="N13" s="36">
        <v>815.68214</v>
      </c>
      <c r="O13" s="36">
        <v>814.36301000000003</v>
      </c>
      <c r="P13" s="57"/>
      <c r="Q13" s="36">
        <v>6653.51</v>
      </c>
      <c r="R13" s="36">
        <v>6533.51</v>
      </c>
      <c r="S13" s="36">
        <v>6535.21</v>
      </c>
    </row>
    <row r="14" spans="1:19" s="80" customFormat="1" x14ac:dyDescent="0.35">
      <c r="A14" s="86">
        <v>6</v>
      </c>
      <c r="B14" s="82" t="s">
        <v>84</v>
      </c>
      <c r="C14" s="83">
        <v>13</v>
      </c>
      <c r="D14" s="83">
        <v>0</v>
      </c>
      <c r="E14" s="83">
        <v>226</v>
      </c>
      <c r="F14" s="83">
        <f t="shared" si="1"/>
        <v>239</v>
      </c>
      <c r="G14" s="82"/>
      <c r="H14" s="32">
        <v>75.75</v>
      </c>
      <c r="I14" s="32">
        <v>0</v>
      </c>
      <c r="J14" s="32">
        <v>79.86</v>
      </c>
      <c r="K14" s="32">
        <v>79.64</v>
      </c>
      <c r="L14" s="84"/>
      <c r="M14" s="36">
        <v>264.25</v>
      </c>
      <c r="N14" s="36">
        <v>408.28512000000001</v>
      </c>
      <c r="O14" s="36">
        <v>400.46421000000004</v>
      </c>
      <c r="P14" s="57"/>
      <c r="Q14" s="36">
        <v>3856.1</v>
      </c>
      <c r="R14" s="36">
        <v>5155.53</v>
      </c>
      <c r="S14" s="36">
        <v>5084.97</v>
      </c>
    </row>
    <row r="15" spans="1:19" s="80" customFormat="1" x14ac:dyDescent="0.35">
      <c r="A15" s="86">
        <v>7</v>
      </c>
      <c r="B15" s="82" t="s">
        <v>85</v>
      </c>
      <c r="C15" s="83">
        <v>55</v>
      </c>
      <c r="D15" s="83">
        <v>3</v>
      </c>
      <c r="E15" s="83">
        <v>337</v>
      </c>
      <c r="F15" s="83">
        <f t="shared" si="1"/>
        <v>395</v>
      </c>
      <c r="G15" s="82"/>
      <c r="H15" s="32">
        <v>75.849999999999994</v>
      </c>
      <c r="I15" s="32">
        <v>61.67</v>
      </c>
      <c r="J15" s="32">
        <v>68.010000000000005</v>
      </c>
      <c r="K15" s="32">
        <v>69.05</v>
      </c>
      <c r="L15" s="84"/>
      <c r="M15" s="36">
        <v>275.7251</v>
      </c>
      <c r="N15" s="36">
        <v>258.80599999999998</v>
      </c>
      <c r="O15" s="36">
        <v>261.26353</v>
      </c>
      <c r="P15" s="57"/>
      <c r="Q15" s="36">
        <v>3401.63</v>
      </c>
      <c r="R15" s="36">
        <v>3799.48</v>
      </c>
      <c r="S15" s="36">
        <v>3741.69</v>
      </c>
    </row>
    <row r="16" spans="1:19" s="80" customFormat="1" x14ac:dyDescent="0.35">
      <c r="A16" s="86">
        <v>8</v>
      </c>
      <c r="B16" s="82" t="s">
        <v>86</v>
      </c>
      <c r="C16" s="83">
        <v>5</v>
      </c>
      <c r="D16" s="83">
        <v>0</v>
      </c>
      <c r="E16" s="83">
        <v>414</v>
      </c>
      <c r="F16" s="83">
        <f t="shared" si="1"/>
        <v>419</v>
      </c>
      <c r="G16" s="82"/>
      <c r="H16" s="32">
        <v>101.75</v>
      </c>
      <c r="I16" s="32">
        <v>0</v>
      </c>
      <c r="J16" s="32">
        <v>64.319999999999993</v>
      </c>
      <c r="K16" s="32">
        <v>64.72</v>
      </c>
      <c r="L16" s="84"/>
      <c r="M16" s="36">
        <v>259.25</v>
      </c>
      <c r="N16" s="36">
        <v>200.77745999999999</v>
      </c>
      <c r="O16" s="36">
        <v>201.61879999999999</v>
      </c>
      <c r="P16" s="57"/>
      <c r="Q16" s="36">
        <v>3291.25</v>
      </c>
      <c r="R16" s="36">
        <v>3086.82</v>
      </c>
      <c r="S16" s="36">
        <v>3089.76</v>
      </c>
    </row>
    <row r="17" spans="1:19" s="80" customFormat="1" x14ac:dyDescent="0.35">
      <c r="A17" s="86">
        <v>9</v>
      </c>
      <c r="B17" s="82" t="s">
        <v>64</v>
      </c>
      <c r="C17" s="83">
        <v>17</v>
      </c>
      <c r="D17" s="83">
        <v>4</v>
      </c>
      <c r="E17" s="83">
        <v>285</v>
      </c>
      <c r="F17" s="83">
        <f t="shared" si="1"/>
        <v>306</v>
      </c>
      <c r="G17" s="82"/>
      <c r="H17" s="32">
        <v>79.81</v>
      </c>
      <c r="I17" s="32">
        <v>66</v>
      </c>
      <c r="J17" s="32">
        <v>72.36</v>
      </c>
      <c r="K17" s="32">
        <v>72.69</v>
      </c>
      <c r="L17" s="84"/>
      <c r="M17" s="36">
        <v>380.54798</v>
      </c>
      <c r="N17" s="36">
        <v>268.40703999999999</v>
      </c>
      <c r="O17" s="36">
        <v>275.55546999999996</v>
      </c>
      <c r="P17" s="57"/>
      <c r="Q17" s="36">
        <v>5309.66</v>
      </c>
      <c r="R17" s="36">
        <v>3717.15</v>
      </c>
      <c r="S17" s="36">
        <v>3818.66</v>
      </c>
    </row>
    <row r="18" spans="1:19" s="80" customFormat="1" x14ac:dyDescent="0.35">
      <c r="A18" s="86">
        <v>10</v>
      </c>
      <c r="B18" s="82" t="s">
        <v>87</v>
      </c>
      <c r="C18" s="83">
        <v>54</v>
      </c>
      <c r="D18" s="83">
        <v>11</v>
      </c>
      <c r="E18" s="83">
        <v>455</v>
      </c>
      <c r="F18" s="83">
        <f t="shared" si="1"/>
        <v>520</v>
      </c>
      <c r="G18" s="82"/>
      <c r="H18" s="32">
        <v>67</v>
      </c>
      <c r="I18" s="32">
        <v>73.599999999999994</v>
      </c>
      <c r="J18" s="32">
        <v>72.17</v>
      </c>
      <c r="K18" s="32">
        <v>71.650000000000006</v>
      </c>
      <c r="L18" s="84"/>
      <c r="M18" s="36">
        <v>412.73865000000001</v>
      </c>
      <c r="N18" s="36">
        <v>335.85183000000001</v>
      </c>
      <c r="O18" s="36">
        <v>345.18808000000001</v>
      </c>
      <c r="P18" s="57"/>
      <c r="Q18" s="36">
        <v>6124.09</v>
      </c>
      <c r="R18" s="36">
        <v>4576.13</v>
      </c>
      <c r="S18" s="36">
        <v>4764.09</v>
      </c>
    </row>
    <row r="19" spans="1:19" s="80" customFormat="1" x14ac:dyDescent="0.35">
      <c r="A19" s="86"/>
      <c r="B19" s="82"/>
      <c r="C19" s="83"/>
      <c r="D19" s="83"/>
      <c r="E19" s="83"/>
      <c r="F19" s="83"/>
      <c r="G19" s="82"/>
      <c r="H19" s="32"/>
      <c r="I19" s="32"/>
      <c r="J19" s="32"/>
      <c r="K19" s="32"/>
      <c r="L19" s="84"/>
      <c r="M19" s="36"/>
      <c r="N19" s="36"/>
      <c r="O19" s="36"/>
      <c r="P19" s="57"/>
      <c r="Q19" s="36"/>
      <c r="R19" s="36"/>
      <c r="S19" s="36"/>
    </row>
    <row r="20" spans="1:19" s="80" customFormat="1" x14ac:dyDescent="0.35">
      <c r="A20" s="86"/>
      <c r="B20" s="85" t="s">
        <v>89</v>
      </c>
      <c r="C20" s="83"/>
      <c r="D20" s="83"/>
      <c r="E20" s="83"/>
      <c r="F20" s="83"/>
      <c r="G20" s="82"/>
      <c r="H20" s="32"/>
      <c r="I20" s="32"/>
      <c r="J20" s="32"/>
      <c r="K20" s="32"/>
      <c r="L20" s="84"/>
      <c r="M20" s="36"/>
      <c r="N20" s="36"/>
      <c r="O20" s="36"/>
      <c r="P20" s="57"/>
      <c r="Q20" s="36"/>
      <c r="R20" s="36"/>
      <c r="S20" s="36"/>
    </row>
    <row r="21" spans="1:19" x14ac:dyDescent="0.35">
      <c r="A21" s="86">
        <v>1</v>
      </c>
      <c r="B21" s="87" t="s">
        <v>8</v>
      </c>
      <c r="C21" s="63">
        <v>3</v>
      </c>
      <c r="D21" s="63">
        <v>0</v>
      </c>
      <c r="E21" s="63">
        <v>163</v>
      </c>
      <c r="F21" s="88">
        <f t="shared" ref="F21:F84" si="2">SUM(C21:E21)</f>
        <v>166</v>
      </c>
      <c r="H21" s="64">
        <v>55.67</v>
      </c>
      <c r="I21" s="64">
        <v>0</v>
      </c>
      <c r="J21" s="64">
        <v>63.34</v>
      </c>
      <c r="K21" s="64">
        <v>63.19</v>
      </c>
      <c r="M21" s="65">
        <v>389.33332999999999</v>
      </c>
      <c r="N21" s="65">
        <v>221.24891</v>
      </c>
      <c r="O21" s="65">
        <v>224.61060000000001</v>
      </c>
      <c r="Q21" s="65">
        <v>6056.36</v>
      </c>
      <c r="R21" s="65">
        <v>3566.5</v>
      </c>
      <c r="S21" s="65">
        <v>3616.3</v>
      </c>
    </row>
    <row r="22" spans="1:19" x14ac:dyDescent="0.35">
      <c r="A22" s="86">
        <v>2</v>
      </c>
      <c r="B22" s="87" t="s">
        <v>9</v>
      </c>
      <c r="C22" s="63">
        <v>3</v>
      </c>
      <c r="D22" s="63">
        <v>0</v>
      </c>
      <c r="E22" s="63">
        <v>58</v>
      </c>
      <c r="F22" s="88">
        <f t="shared" si="2"/>
        <v>61</v>
      </c>
      <c r="H22" s="64">
        <v>111</v>
      </c>
      <c r="I22" s="64">
        <v>0</v>
      </c>
      <c r="J22" s="64">
        <v>85.77</v>
      </c>
      <c r="K22" s="64">
        <v>86.28</v>
      </c>
      <c r="M22" s="65">
        <v>629</v>
      </c>
      <c r="N22" s="65">
        <v>339.11052000000001</v>
      </c>
      <c r="O22" s="65">
        <v>345.02663000000001</v>
      </c>
      <c r="Q22" s="65">
        <v>5666.67</v>
      </c>
      <c r="R22" s="65">
        <v>4273.71</v>
      </c>
      <c r="S22" s="65">
        <v>4302.1400000000003</v>
      </c>
    </row>
    <row r="23" spans="1:19" x14ac:dyDescent="0.35">
      <c r="A23" s="86">
        <v>3</v>
      </c>
      <c r="B23" s="87" t="s">
        <v>10</v>
      </c>
      <c r="C23" s="63">
        <v>6</v>
      </c>
      <c r="D23" s="63">
        <v>0</v>
      </c>
      <c r="E23" s="63">
        <v>60</v>
      </c>
      <c r="F23" s="88">
        <f t="shared" si="2"/>
        <v>66</v>
      </c>
      <c r="H23" s="64">
        <v>30.2</v>
      </c>
      <c r="I23" s="64">
        <v>0</v>
      </c>
      <c r="J23" s="64">
        <v>47.7</v>
      </c>
      <c r="K23" s="64">
        <v>46.22</v>
      </c>
      <c r="M23" s="65">
        <v>177</v>
      </c>
      <c r="N23" s="65">
        <v>247.45842000000002</v>
      </c>
      <c r="O23" s="65">
        <v>241.27785999999998</v>
      </c>
      <c r="Q23" s="65">
        <v>5897.53</v>
      </c>
      <c r="R23" s="65">
        <v>5265.2</v>
      </c>
      <c r="S23" s="65">
        <v>5320.67</v>
      </c>
    </row>
    <row r="24" spans="1:19" x14ac:dyDescent="0.35">
      <c r="A24" s="86">
        <v>4</v>
      </c>
      <c r="B24" s="87" t="s">
        <v>11</v>
      </c>
      <c r="C24" s="63">
        <v>1</v>
      </c>
      <c r="D24" s="63">
        <v>0</v>
      </c>
      <c r="E24" s="63">
        <v>87</v>
      </c>
      <c r="F24" s="88">
        <f t="shared" si="2"/>
        <v>88</v>
      </c>
      <c r="H24" s="64">
        <v>83</v>
      </c>
      <c r="I24" s="64">
        <v>0</v>
      </c>
      <c r="J24" s="64">
        <v>63.8</v>
      </c>
      <c r="K24" s="64">
        <v>64.040000000000006</v>
      </c>
      <c r="M24" s="89" t="s">
        <v>100</v>
      </c>
      <c r="N24" s="65">
        <v>337.10489000000001</v>
      </c>
      <c r="O24" s="65">
        <v>338.01607999999999</v>
      </c>
      <c r="Q24" s="89" t="s">
        <v>100</v>
      </c>
      <c r="R24" s="65">
        <v>5394.79</v>
      </c>
      <c r="S24" s="65">
        <v>5389.1</v>
      </c>
    </row>
    <row r="25" spans="1:19" x14ac:dyDescent="0.35">
      <c r="A25" s="86">
        <v>5</v>
      </c>
      <c r="B25" s="87" t="s">
        <v>12</v>
      </c>
      <c r="C25" s="63">
        <v>3</v>
      </c>
      <c r="D25" s="63">
        <v>0</v>
      </c>
      <c r="E25" s="63">
        <v>50</v>
      </c>
      <c r="F25" s="88">
        <f t="shared" si="2"/>
        <v>53</v>
      </c>
      <c r="H25" s="64">
        <v>57</v>
      </c>
      <c r="I25" s="64">
        <v>0</v>
      </c>
      <c r="J25" s="64">
        <v>80.83</v>
      </c>
      <c r="K25" s="64">
        <v>79.37</v>
      </c>
      <c r="M25" s="65">
        <v>358.33332999999999</v>
      </c>
      <c r="N25" s="65">
        <v>393.80021999999997</v>
      </c>
      <c r="O25" s="65">
        <v>391.53638000000001</v>
      </c>
      <c r="Q25" s="65">
        <v>6517.73</v>
      </c>
      <c r="R25" s="65">
        <v>5027.7299999999996</v>
      </c>
      <c r="S25" s="65">
        <v>5122.84</v>
      </c>
    </row>
    <row r="26" spans="1:19" x14ac:dyDescent="0.35">
      <c r="A26" s="86">
        <v>6</v>
      </c>
      <c r="B26" s="87" t="s">
        <v>13</v>
      </c>
      <c r="C26" s="63">
        <v>5</v>
      </c>
      <c r="D26" s="63">
        <v>0</v>
      </c>
      <c r="E26" s="63">
        <v>75</v>
      </c>
      <c r="F26" s="88">
        <f t="shared" si="2"/>
        <v>80</v>
      </c>
      <c r="H26" s="64">
        <v>115</v>
      </c>
      <c r="I26" s="64">
        <v>0</v>
      </c>
      <c r="J26" s="64">
        <v>64.099999999999994</v>
      </c>
      <c r="K26" s="64">
        <v>68.02</v>
      </c>
      <c r="M26" s="65">
        <v>801.2</v>
      </c>
      <c r="N26" s="65">
        <v>328.22030999999998</v>
      </c>
      <c r="O26" s="65">
        <v>365.17184999999995</v>
      </c>
      <c r="Q26" s="65">
        <v>6972.14</v>
      </c>
      <c r="R26" s="65">
        <v>5171.79</v>
      </c>
      <c r="S26" s="65">
        <v>5312.44</v>
      </c>
    </row>
    <row r="27" spans="1:19" x14ac:dyDescent="0.35">
      <c r="A27" s="86">
        <v>7</v>
      </c>
      <c r="B27" s="87" t="s">
        <v>14</v>
      </c>
      <c r="C27" s="63">
        <v>12</v>
      </c>
      <c r="D27" s="63">
        <v>0</v>
      </c>
      <c r="E27" s="63">
        <v>119</v>
      </c>
      <c r="F27" s="88">
        <f t="shared" si="2"/>
        <v>131</v>
      </c>
      <c r="H27" s="64">
        <v>121</v>
      </c>
      <c r="I27" s="64">
        <v>0</v>
      </c>
      <c r="J27" s="64">
        <v>121.92</v>
      </c>
      <c r="K27" s="64">
        <v>121.85</v>
      </c>
      <c r="M27" s="65">
        <v>1097.60889</v>
      </c>
      <c r="N27" s="65">
        <v>763.32399999999996</v>
      </c>
      <c r="O27" s="65">
        <v>789.03822000000002</v>
      </c>
      <c r="Q27" s="65">
        <v>8608.82</v>
      </c>
      <c r="R27" s="65">
        <v>6288.26</v>
      </c>
      <c r="S27" s="65">
        <v>6466.76</v>
      </c>
    </row>
    <row r="28" spans="1:19" x14ac:dyDescent="0.35">
      <c r="A28" s="86">
        <v>8</v>
      </c>
      <c r="B28" s="87" t="s">
        <v>15</v>
      </c>
      <c r="C28" s="63">
        <v>19</v>
      </c>
      <c r="D28" s="63">
        <v>1</v>
      </c>
      <c r="E28" s="63">
        <v>99</v>
      </c>
      <c r="F28" s="88">
        <f t="shared" si="2"/>
        <v>119</v>
      </c>
      <c r="H28" s="64">
        <v>99.63</v>
      </c>
      <c r="I28" s="64">
        <v>0</v>
      </c>
      <c r="J28" s="64">
        <v>104.9</v>
      </c>
      <c r="K28" s="64">
        <v>104.48</v>
      </c>
      <c r="M28" s="65">
        <v>653</v>
      </c>
      <c r="N28" s="65">
        <v>604.54994999999997</v>
      </c>
      <c r="O28" s="65">
        <v>608.42594999999994</v>
      </c>
      <c r="Q28" s="65">
        <v>6062.07</v>
      </c>
      <c r="R28" s="65">
        <v>5892.42</v>
      </c>
      <c r="S28" s="65">
        <v>5905.99</v>
      </c>
    </row>
    <row r="29" spans="1:19" x14ac:dyDescent="0.35">
      <c r="A29" s="86">
        <v>9</v>
      </c>
      <c r="B29" s="87" t="s">
        <v>16</v>
      </c>
      <c r="C29" s="63">
        <v>59</v>
      </c>
      <c r="D29" s="63">
        <v>3</v>
      </c>
      <c r="E29" s="63">
        <v>77</v>
      </c>
      <c r="F29" s="88">
        <f t="shared" si="2"/>
        <v>139</v>
      </c>
      <c r="H29" s="64">
        <v>77.900000000000006</v>
      </c>
      <c r="I29" s="64">
        <v>96</v>
      </c>
      <c r="J29" s="64">
        <v>78.7</v>
      </c>
      <c r="K29" s="64">
        <v>78.790000000000006</v>
      </c>
      <c r="M29" s="65">
        <v>482.09615000000002</v>
      </c>
      <c r="N29" s="65">
        <v>400.82259999999997</v>
      </c>
      <c r="O29" s="65">
        <v>437.89474999999999</v>
      </c>
      <c r="Q29" s="65">
        <v>6176.06</v>
      </c>
      <c r="R29" s="65">
        <v>5166.2700000000004</v>
      </c>
      <c r="S29" s="65">
        <v>5626.88</v>
      </c>
    </row>
    <row r="30" spans="1:19" x14ac:dyDescent="0.35">
      <c r="A30" s="86">
        <v>10</v>
      </c>
      <c r="B30" s="87" t="s">
        <v>17</v>
      </c>
      <c r="C30" s="63">
        <v>6</v>
      </c>
      <c r="D30" s="63">
        <v>1</v>
      </c>
      <c r="E30" s="63">
        <v>68</v>
      </c>
      <c r="F30" s="88">
        <f t="shared" si="2"/>
        <v>75</v>
      </c>
      <c r="H30" s="64">
        <v>107.33</v>
      </c>
      <c r="I30" s="64">
        <v>0</v>
      </c>
      <c r="J30" s="64">
        <v>79.150000000000006</v>
      </c>
      <c r="K30" s="64">
        <v>80.47</v>
      </c>
      <c r="M30" s="65">
        <v>768.33332999999993</v>
      </c>
      <c r="N30" s="65">
        <v>381.67346999999995</v>
      </c>
      <c r="O30" s="65">
        <v>400.68953000000005</v>
      </c>
      <c r="Q30" s="65">
        <v>7812.9</v>
      </c>
      <c r="R30" s="65">
        <v>4861.53</v>
      </c>
      <c r="S30" s="65">
        <v>5006.68</v>
      </c>
    </row>
    <row r="31" spans="1:19" x14ac:dyDescent="0.35">
      <c r="A31" s="86">
        <v>11</v>
      </c>
      <c r="B31" s="87" t="s">
        <v>96</v>
      </c>
      <c r="C31" s="63">
        <v>1</v>
      </c>
      <c r="D31" s="63">
        <v>0</v>
      </c>
      <c r="E31" s="63">
        <v>94</v>
      </c>
      <c r="F31" s="88">
        <f t="shared" si="2"/>
        <v>95</v>
      </c>
      <c r="H31" s="64">
        <v>65</v>
      </c>
      <c r="I31" s="64">
        <v>0</v>
      </c>
      <c r="J31" s="64">
        <v>56.98</v>
      </c>
      <c r="K31" s="64">
        <v>57.08</v>
      </c>
      <c r="M31" s="89" t="s">
        <v>100</v>
      </c>
      <c r="N31" s="65">
        <v>246.64004</v>
      </c>
      <c r="O31" s="65">
        <v>248.29407</v>
      </c>
      <c r="Q31" s="89" t="s">
        <v>100</v>
      </c>
      <c r="R31" s="65">
        <v>4408.18</v>
      </c>
      <c r="S31" s="65">
        <v>4425.66</v>
      </c>
    </row>
    <row r="32" spans="1:19" x14ac:dyDescent="0.35">
      <c r="A32" s="86">
        <v>12</v>
      </c>
      <c r="B32" s="87" t="s">
        <v>97</v>
      </c>
      <c r="C32" s="63">
        <v>6</v>
      </c>
      <c r="D32" s="63">
        <v>3</v>
      </c>
      <c r="E32" s="63">
        <v>2</v>
      </c>
      <c r="F32" s="88">
        <f t="shared" si="2"/>
        <v>11</v>
      </c>
      <c r="H32" s="64">
        <v>73</v>
      </c>
      <c r="I32" s="64">
        <v>65</v>
      </c>
      <c r="J32" s="64">
        <v>88</v>
      </c>
      <c r="K32" s="64">
        <v>74.400000000000006</v>
      </c>
      <c r="M32" s="65">
        <v>629.78332999999998</v>
      </c>
      <c r="N32" s="65">
        <v>399</v>
      </c>
      <c r="O32" s="65">
        <v>572.08749999999998</v>
      </c>
      <c r="Q32" s="65">
        <v>8270.66</v>
      </c>
      <c r="R32" s="65">
        <v>4580.62</v>
      </c>
      <c r="S32" s="65">
        <v>7348.15</v>
      </c>
    </row>
    <row r="33" spans="1:19" x14ac:dyDescent="0.35">
      <c r="A33" s="86">
        <v>13</v>
      </c>
      <c r="B33" s="87" t="s">
        <v>18</v>
      </c>
      <c r="C33" s="63">
        <v>1</v>
      </c>
      <c r="D33" s="63">
        <v>0</v>
      </c>
      <c r="E33" s="63">
        <v>73</v>
      </c>
      <c r="F33" s="88">
        <f t="shared" si="2"/>
        <v>74</v>
      </c>
      <c r="H33" s="64">
        <v>52</v>
      </c>
      <c r="I33" s="64">
        <v>0</v>
      </c>
      <c r="J33" s="64">
        <v>67.75</v>
      </c>
      <c r="K33" s="64">
        <v>67.52</v>
      </c>
      <c r="M33" s="89" t="s">
        <v>100</v>
      </c>
      <c r="N33" s="65">
        <v>294.33209000000005</v>
      </c>
      <c r="O33" s="65">
        <v>292.46902</v>
      </c>
      <c r="Q33" s="89" t="s">
        <v>100</v>
      </c>
      <c r="R33" s="65">
        <v>4402.25</v>
      </c>
      <c r="S33" s="65">
        <v>4388.8900000000003</v>
      </c>
    </row>
    <row r="34" spans="1:19" x14ac:dyDescent="0.35">
      <c r="A34" s="86">
        <v>14</v>
      </c>
      <c r="B34" s="87" t="s">
        <v>19</v>
      </c>
      <c r="C34" s="63">
        <v>2</v>
      </c>
      <c r="D34" s="63">
        <v>0</v>
      </c>
      <c r="E34" s="63">
        <v>15</v>
      </c>
      <c r="F34" s="88">
        <f t="shared" si="2"/>
        <v>17</v>
      </c>
      <c r="H34" s="64">
        <v>73</v>
      </c>
      <c r="I34" s="64">
        <v>0</v>
      </c>
      <c r="J34" s="64">
        <v>69.569999999999993</v>
      </c>
      <c r="K34" s="64">
        <v>70</v>
      </c>
      <c r="M34" s="89" t="s">
        <v>100</v>
      </c>
      <c r="N34" s="65">
        <v>286.46429000000001</v>
      </c>
      <c r="O34" s="65">
        <v>284.78937999999999</v>
      </c>
      <c r="Q34" s="89" t="s">
        <v>100</v>
      </c>
      <c r="R34" s="65">
        <v>4143.04</v>
      </c>
      <c r="S34" s="65">
        <v>4125.4799999999996</v>
      </c>
    </row>
    <row r="35" spans="1:19" x14ac:dyDescent="0.35">
      <c r="A35" s="86">
        <v>15</v>
      </c>
      <c r="B35" s="87" t="s">
        <v>20</v>
      </c>
      <c r="C35" s="63">
        <v>7</v>
      </c>
      <c r="D35" s="63">
        <v>0</v>
      </c>
      <c r="E35" s="63">
        <v>23</v>
      </c>
      <c r="F35" s="88">
        <f t="shared" si="2"/>
        <v>30</v>
      </c>
      <c r="H35" s="64">
        <v>70</v>
      </c>
      <c r="I35" s="64">
        <v>0</v>
      </c>
      <c r="J35" s="64">
        <v>70.88</v>
      </c>
      <c r="K35" s="64">
        <v>70.650000000000006</v>
      </c>
      <c r="M35" s="65">
        <v>304</v>
      </c>
      <c r="N35" s="65">
        <v>301.76471000000004</v>
      </c>
      <c r="O35" s="65">
        <v>302.34783000000004</v>
      </c>
      <c r="Q35" s="65">
        <v>4427.93</v>
      </c>
      <c r="R35" s="65">
        <v>4414.8999999999996</v>
      </c>
      <c r="S35" s="65">
        <v>4418.3</v>
      </c>
    </row>
    <row r="36" spans="1:19" x14ac:dyDescent="0.35">
      <c r="A36" s="86">
        <v>16</v>
      </c>
      <c r="B36" s="87" t="s">
        <v>21</v>
      </c>
      <c r="C36" s="63">
        <v>1</v>
      </c>
      <c r="D36" s="63">
        <v>0</v>
      </c>
      <c r="E36" s="63">
        <v>40</v>
      </c>
      <c r="F36" s="88">
        <f t="shared" si="2"/>
        <v>41</v>
      </c>
      <c r="H36" s="64">
        <v>83</v>
      </c>
      <c r="I36" s="64">
        <v>0</v>
      </c>
      <c r="J36" s="64">
        <v>70.760000000000005</v>
      </c>
      <c r="K36" s="64">
        <v>71.08</v>
      </c>
      <c r="M36" s="89" t="s">
        <v>100</v>
      </c>
      <c r="N36" s="65">
        <v>271.66278999999997</v>
      </c>
      <c r="O36" s="65">
        <v>272.17215999999996</v>
      </c>
      <c r="Q36" s="89" t="s">
        <v>100</v>
      </c>
      <c r="R36" s="65">
        <v>4018.64</v>
      </c>
      <c r="S36" s="65">
        <v>4004.07</v>
      </c>
    </row>
    <row r="37" spans="1:19" x14ac:dyDescent="0.35">
      <c r="A37" s="86">
        <v>17</v>
      </c>
      <c r="B37" s="87" t="s">
        <v>22</v>
      </c>
      <c r="C37" s="63">
        <v>2</v>
      </c>
      <c r="D37" s="63">
        <v>0</v>
      </c>
      <c r="E37" s="63">
        <v>63</v>
      </c>
      <c r="F37" s="88">
        <f t="shared" si="2"/>
        <v>65</v>
      </c>
      <c r="H37" s="64">
        <v>57</v>
      </c>
      <c r="I37" s="64">
        <v>0</v>
      </c>
      <c r="J37" s="64">
        <v>65.650000000000006</v>
      </c>
      <c r="K37" s="64">
        <v>65.34</v>
      </c>
      <c r="M37" s="89" t="s">
        <v>100</v>
      </c>
      <c r="N37" s="65">
        <v>244.44926000000001</v>
      </c>
      <c r="O37" s="65">
        <v>244.34003000000001</v>
      </c>
      <c r="Q37" s="89" t="s">
        <v>100</v>
      </c>
      <c r="R37" s="65">
        <v>3900.53</v>
      </c>
      <c r="S37" s="65">
        <v>3912.99</v>
      </c>
    </row>
    <row r="38" spans="1:19" x14ac:dyDescent="0.35">
      <c r="A38" s="86">
        <v>18</v>
      </c>
      <c r="B38" s="87" t="s">
        <v>23</v>
      </c>
      <c r="C38" s="63">
        <v>10</v>
      </c>
      <c r="D38" s="63">
        <v>0</v>
      </c>
      <c r="E38" s="63">
        <v>116</v>
      </c>
      <c r="F38" s="88">
        <f t="shared" si="2"/>
        <v>126</v>
      </c>
      <c r="H38" s="64">
        <v>62.44</v>
      </c>
      <c r="I38" s="64">
        <v>0</v>
      </c>
      <c r="J38" s="64">
        <v>67.569999999999993</v>
      </c>
      <c r="K38" s="64">
        <v>67.09</v>
      </c>
      <c r="M38" s="65">
        <v>286.22221999999999</v>
      </c>
      <c r="N38" s="65">
        <v>288.34976</v>
      </c>
      <c r="O38" s="65">
        <v>288.14163000000002</v>
      </c>
      <c r="Q38" s="65">
        <v>4729.1000000000004</v>
      </c>
      <c r="R38" s="65">
        <v>4310.95</v>
      </c>
      <c r="S38" s="65">
        <v>4351.8599999999997</v>
      </c>
    </row>
    <row r="39" spans="1:19" x14ac:dyDescent="0.35">
      <c r="A39" s="86">
        <v>19</v>
      </c>
      <c r="B39" s="87" t="s">
        <v>24</v>
      </c>
      <c r="C39" s="63">
        <v>0</v>
      </c>
      <c r="D39" s="63">
        <v>0</v>
      </c>
      <c r="E39" s="63">
        <v>76</v>
      </c>
      <c r="F39" s="88">
        <f t="shared" si="2"/>
        <v>76</v>
      </c>
      <c r="H39" s="64">
        <v>0</v>
      </c>
      <c r="I39" s="64">
        <v>0</v>
      </c>
      <c r="J39" s="64">
        <v>79.92</v>
      </c>
      <c r="K39" s="64">
        <v>79.92</v>
      </c>
      <c r="M39" s="65">
        <v>0</v>
      </c>
      <c r="N39" s="65">
        <v>478.40179000000001</v>
      </c>
      <c r="O39" s="65">
        <v>478.40179000000001</v>
      </c>
      <c r="Q39" s="65">
        <v>0</v>
      </c>
      <c r="R39" s="65">
        <v>5671.96</v>
      </c>
      <c r="S39" s="65">
        <v>5671.96</v>
      </c>
    </row>
    <row r="40" spans="1:19" x14ac:dyDescent="0.35">
      <c r="A40" s="86">
        <v>20</v>
      </c>
      <c r="B40" s="87" t="s">
        <v>25</v>
      </c>
      <c r="C40" s="63">
        <v>3</v>
      </c>
      <c r="D40" s="63">
        <v>0</v>
      </c>
      <c r="E40" s="63">
        <v>55</v>
      </c>
      <c r="F40" s="88">
        <f t="shared" si="2"/>
        <v>58</v>
      </c>
      <c r="H40" s="64">
        <v>0</v>
      </c>
      <c r="I40" s="64">
        <v>0</v>
      </c>
      <c r="J40" s="64">
        <v>79.040000000000006</v>
      </c>
      <c r="K40" s="64">
        <v>79.040000000000006</v>
      </c>
      <c r="M40" s="65">
        <v>0</v>
      </c>
      <c r="N40" s="65">
        <v>423.60780999999997</v>
      </c>
      <c r="O40" s="65">
        <v>423.60780999999997</v>
      </c>
      <c r="Q40" s="65">
        <v>0</v>
      </c>
      <c r="R40" s="65">
        <v>5206.53</v>
      </c>
      <c r="S40" s="65">
        <v>5206.53</v>
      </c>
    </row>
    <row r="41" spans="1:19" x14ac:dyDescent="0.35">
      <c r="A41" s="86">
        <v>21</v>
      </c>
      <c r="B41" s="87" t="s">
        <v>26</v>
      </c>
      <c r="C41" s="63">
        <v>0</v>
      </c>
      <c r="D41" s="63">
        <v>0</v>
      </c>
      <c r="E41" s="63">
        <v>32</v>
      </c>
      <c r="F41" s="88">
        <f t="shared" si="2"/>
        <v>32</v>
      </c>
      <c r="H41" s="64">
        <v>0</v>
      </c>
      <c r="I41" s="64">
        <v>0</v>
      </c>
      <c r="J41" s="64">
        <v>183.88</v>
      </c>
      <c r="K41" s="64">
        <v>183.88</v>
      </c>
      <c r="M41" s="65">
        <v>0</v>
      </c>
      <c r="N41" s="65">
        <v>1460.1019199999998</v>
      </c>
      <c r="O41" s="65">
        <v>1460.1019199999998</v>
      </c>
      <c r="Q41" s="65">
        <v>0</v>
      </c>
      <c r="R41" s="65">
        <v>7505.42</v>
      </c>
      <c r="S41" s="65">
        <v>7505.42</v>
      </c>
    </row>
    <row r="42" spans="1:19" x14ac:dyDescent="0.35">
      <c r="A42" s="86">
        <v>22</v>
      </c>
      <c r="B42" s="87" t="s">
        <v>27</v>
      </c>
      <c r="C42" s="63">
        <v>0</v>
      </c>
      <c r="D42" s="63">
        <v>0</v>
      </c>
      <c r="E42" s="63">
        <v>10</v>
      </c>
      <c r="F42" s="88">
        <f t="shared" si="2"/>
        <v>10</v>
      </c>
      <c r="H42" s="64">
        <v>0</v>
      </c>
      <c r="I42" s="64">
        <v>0</v>
      </c>
      <c r="J42" s="64">
        <v>170.75</v>
      </c>
      <c r="K42" s="64">
        <v>170.75</v>
      </c>
      <c r="M42" s="65">
        <v>0</v>
      </c>
      <c r="N42" s="65">
        <v>536.875</v>
      </c>
      <c r="O42" s="65">
        <v>536.875</v>
      </c>
      <c r="Q42" s="65">
        <v>0</v>
      </c>
      <c r="R42" s="65">
        <v>3575.32</v>
      </c>
      <c r="S42" s="65">
        <v>3575.32</v>
      </c>
    </row>
    <row r="43" spans="1:19" x14ac:dyDescent="0.35">
      <c r="A43" s="86">
        <v>23</v>
      </c>
      <c r="B43" s="87" t="s">
        <v>28</v>
      </c>
      <c r="C43" s="63">
        <v>2</v>
      </c>
      <c r="D43" s="63">
        <v>0</v>
      </c>
      <c r="E43" s="63">
        <v>59</v>
      </c>
      <c r="F43" s="88">
        <f t="shared" si="2"/>
        <v>61</v>
      </c>
      <c r="H43" s="64">
        <v>118.5</v>
      </c>
      <c r="I43" s="64">
        <v>0</v>
      </c>
      <c r="J43" s="64">
        <v>106.46</v>
      </c>
      <c r="K43" s="64">
        <v>106.96</v>
      </c>
      <c r="M43" s="89" t="s">
        <v>100</v>
      </c>
      <c r="N43" s="65">
        <v>771.23755000000006</v>
      </c>
      <c r="O43" s="65">
        <v>793.40485000000001</v>
      </c>
      <c r="Q43" s="89" t="s">
        <v>100</v>
      </c>
      <c r="R43" s="65">
        <v>6847.85</v>
      </c>
      <c r="S43" s="65">
        <v>7014.47</v>
      </c>
    </row>
    <row r="44" spans="1:19" x14ac:dyDescent="0.35">
      <c r="A44" s="86">
        <v>24</v>
      </c>
      <c r="B44" s="87" t="s">
        <v>29</v>
      </c>
      <c r="C44" s="63">
        <v>1</v>
      </c>
      <c r="D44" s="63">
        <v>0</v>
      </c>
      <c r="E44" s="63">
        <v>36</v>
      </c>
      <c r="F44" s="88">
        <f t="shared" si="2"/>
        <v>37</v>
      </c>
      <c r="H44" s="64">
        <v>60</v>
      </c>
      <c r="I44" s="64">
        <v>0</v>
      </c>
      <c r="J44" s="64">
        <v>142.88</v>
      </c>
      <c r="K44" s="64">
        <v>140.37</v>
      </c>
      <c r="M44" s="89" t="s">
        <v>100</v>
      </c>
      <c r="N44" s="65">
        <v>1073.0340900000001</v>
      </c>
      <c r="O44" s="65">
        <v>1036.57546</v>
      </c>
      <c r="Q44" s="89" t="s">
        <v>100</v>
      </c>
      <c r="R44" s="65">
        <v>7709.96</v>
      </c>
      <c r="S44" s="65">
        <v>7453.14</v>
      </c>
    </row>
    <row r="45" spans="1:19" x14ac:dyDescent="0.35">
      <c r="A45" s="86">
        <v>25</v>
      </c>
      <c r="B45" s="87" t="s">
        <v>30</v>
      </c>
      <c r="C45" s="63">
        <v>0</v>
      </c>
      <c r="D45" s="63">
        <v>0</v>
      </c>
      <c r="E45" s="63">
        <v>49</v>
      </c>
      <c r="F45" s="88">
        <f t="shared" si="2"/>
        <v>49</v>
      </c>
      <c r="H45" s="64">
        <v>0</v>
      </c>
      <c r="I45" s="64">
        <v>0</v>
      </c>
      <c r="J45" s="64">
        <v>146.56</v>
      </c>
      <c r="K45" s="64">
        <v>146.56</v>
      </c>
      <c r="M45" s="65">
        <v>0</v>
      </c>
      <c r="N45" s="65">
        <v>1025.4289000000001</v>
      </c>
      <c r="O45" s="65">
        <v>1025.4289000000001</v>
      </c>
      <c r="Q45" s="65">
        <v>0</v>
      </c>
      <c r="R45" s="65">
        <v>6675.34</v>
      </c>
      <c r="S45" s="65">
        <v>6675.34</v>
      </c>
    </row>
    <row r="46" spans="1:19" x14ac:dyDescent="0.35">
      <c r="A46" s="86">
        <v>26</v>
      </c>
      <c r="B46" s="87" t="s">
        <v>31</v>
      </c>
      <c r="C46" s="63">
        <v>5</v>
      </c>
      <c r="D46" s="63">
        <v>0</v>
      </c>
      <c r="E46" s="63">
        <v>104</v>
      </c>
      <c r="F46" s="88">
        <f t="shared" si="2"/>
        <v>109</v>
      </c>
      <c r="H46" s="64">
        <v>76</v>
      </c>
      <c r="I46" s="64">
        <v>0</v>
      </c>
      <c r="J46" s="64">
        <v>126.92</v>
      </c>
      <c r="K46" s="64">
        <v>126.39</v>
      </c>
      <c r="M46" s="65">
        <v>468</v>
      </c>
      <c r="N46" s="65">
        <v>875.59074999999996</v>
      </c>
      <c r="O46" s="65">
        <v>871.34501</v>
      </c>
      <c r="Q46" s="65">
        <v>6157.9</v>
      </c>
      <c r="R46" s="65">
        <v>6805.14</v>
      </c>
      <c r="S46" s="65">
        <v>6798.4</v>
      </c>
    </row>
    <row r="47" spans="1:19" x14ac:dyDescent="0.35">
      <c r="A47" s="86">
        <v>27</v>
      </c>
      <c r="B47" s="87" t="s">
        <v>32</v>
      </c>
      <c r="C47" s="63">
        <v>0</v>
      </c>
      <c r="D47" s="63">
        <v>0</v>
      </c>
      <c r="E47" s="63">
        <v>70</v>
      </c>
      <c r="F47" s="88">
        <f t="shared" si="2"/>
        <v>70</v>
      </c>
      <c r="H47" s="64">
        <v>0</v>
      </c>
      <c r="I47" s="64">
        <v>0</v>
      </c>
      <c r="J47" s="64">
        <v>98.68</v>
      </c>
      <c r="K47" s="64">
        <v>98.68</v>
      </c>
      <c r="M47" s="65">
        <v>0</v>
      </c>
      <c r="N47" s="65">
        <v>553.45231000000001</v>
      </c>
      <c r="O47" s="65">
        <v>553.45231000000001</v>
      </c>
      <c r="Q47" s="65">
        <v>0</v>
      </c>
      <c r="R47" s="65">
        <v>5759</v>
      </c>
      <c r="S47" s="65">
        <v>5759</v>
      </c>
    </row>
    <row r="48" spans="1:19" x14ac:dyDescent="0.35">
      <c r="A48" s="86">
        <v>28</v>
      </c>
      <c r="B48" s="87" t="s">
        <v>33</v>
      </c>
      <c r="C48" s="63">
        <v>8</v>
      </c>
      <c r="D48" s="63">
        <v>0</v>
      </c>
      <c r="E48" s="63">
        <v>19</v>
      </c>
      <c r="F48" s="88">
        <f t="shared" si="2"/>
        <v>27</v>
      </c>
      <c r="H48" s="64">
        <v>92.14</v>
      </c>
      <c r="I48" s="64">
        <v>0</v>
      </c>
      <c r="J48" s="64">
        <v>82.69</v>
      </c>
      <c r="K48" s="64">
        <v>85.57</v>
      </c>
      <c r="M48" s="65">
        <v>325.71429000000001</v>
      </c>
      <c r="N48" s="65">
        <v>356.59649999999999</v>
      </c>
      <c r="O48" s="65">
        <v>347.19756999999998</v>
      </c>
      <c r="Q48" s="65">
        <v>4026.73</v>
      </c>
      <c r="R48" s="65">
        <v>4487.2299999999996</v>
      </c>
      <c r="S48" s="65">
        <v>4347.08</v>
      </c>
    </row>
    <row r="49" spans="1:19" x14ac:dyDescent="0.35">
      <c r="A49" s="86">
        <v>29</v>
      </c>
      <c r="B49" s="87" t="s">
        <v>34</v>
      </c>
      <c r="C49" s="63">
        <v>4</v>
      </c>
      <c r="D49" s="63">
        <v>0</v>
      </c>
      <c r="E49" s="63">
        <v>7</v>
      </c>
      <c r="F49" s="88">
        <f t="shared" si="2"/>
        <v>11</v>
      </c>
      <c r="H49" s="64">
        <v>56.25</v>
      </c>
      <c r="I49" s="64">
        <v>0</v>
      </c>
      <c r="J49" s="64">
        <v>73.2</v>
      </c>
      <c r="K49" s="64">
        <v>65.67</v>
      </c>
      <c r="M49" s="65">
        <v>164.25</v>
      </c>
      <c r="N49" s="65">
        <v>256.97082999999998</v>
      </c>
      <c r="O49" s="65">
        <v>215.76157000000001</v>
      </c>
      <c r="Q49" s="65">
        <v>3021.53</v>
      </c>
      <c r="R49" s="65">
        <v>3513.56</v>
      </c>
      <c r="S49" s="65">
        <v>3294.88</v>
      </c>
    </row>
    <row r="50" spans="1:19" x14ac:dyDescent="0.35">
      <c r="A50" s="86">
        <v>30</v>
      </c>
      <c r="B50" s="87" t="s">
        <v>35</v>
      </c>
      <c r="C50" s="63">
        <v>1</v>
      </c>
      <c r="D50" s="63">
        <v>0</v>
      </c>
      <c r="E50" s="63">
        <v>26</v>
      </c>
      <c r="F50" s="88">
        <f t="shared" si="2"/>
        <v>27</v>
      </c>
      <c r="H50" s="64">
        <v>39</v>
      </c>
      <c r="I50" s="64">
        <v>0</v>
      </c>
      <c r="J50" s="64">
        <v>82.84</v>
      </c>
      <c r="K50" s="64">
        <v>81.150000000000006</v>
      </c>
      <c r="M50" s="89" t="s">
        <v>100</v>
      </c>
      <c r="N50" s="65">
        <v>363.16408000000001</v>
      </c>
      <c r="O50" s="65">
        <v>358.19622999999996</v>
      </c>
      <c r="Q50" s="89" t="s">
        <v>100</v>
      </c>
      <c r="R50" s="65">
        <v>4334.75</v>
      </c>
      <c r="S50" s="65">
        <v>4398.8</v>
      </c>
    </row>
    <row r="51" spans="1:19" x14ac:dyDescent="0.35">
      <c r="A51" s="86">
        <v>31</v>
      </c>
      <c r="B51" s="87" t="s">
        <v>36</v>
      </c>
      <c r="C51" s="63">
        <v>0</v>
      </c>
      <c r="D51" s="63">
        <v>0</v>
      </c>
      <c r="E51" s="63">
        <v>108</v>
      </c>
      <c r="F51" s="88">
        <f t="shared" si="2"/>
        <v>108</v>
      </c>
      <c r="H51" s="64">
        <v>0</v>
      </c>
      <c r="I51" s="64">
        <v>0</v>
      </c>
      <c r="J51" s="64">
        <v>82.29</v>
      </c>
      <c r="K51" s="64">
        <v>82.29</v>
      </c>
      <c r="M51" s="65">
        <v>0</v>
      </c>
      <c r="N51" s="65">
        <v>448.05871999999999</v>
      </c>
      <c r="O51" s="65">
        <v>448.05871999999999</v>
      </c>
      <c r="Q51" s="65">
        <v>0</v>
      </c>
      <c r="R51" s="65">
        <v>5408.45</v>
      </c>
      <c r="S51" s="65">
        <v>5408.45</v>
      </c>
    </row>
    <row r="52" spans="1:19" x14ac:dyDescent="0.35">
      <c r="A52" s="86">
        <v>32</v>
      </c>
      <c r="B52" s="87" t="s">
        <v>37</v>
      </c>
      <c r="C52" s="63">
        <v>0</v>
      </c>
      <c r="D52" s="63">
        <v>0</v>
      </c>
      <c r="E52" s="63">
        <v>66</v>
      </c>
      <c r="F52" s="88">
        <f t="shared" si="2"/>
        <v>66</v>
      </c>
      <c r="H52" s="64">
        <v>0</v>
      </c>
      <c r="I52" s="64">
        <v>0</v>
      </c>
      <c r="J52" s="64">
        <v>74.47</v>
      </c>
      <c r="K52" s="64">
        <v>74.47</v>
      </c>
      <c r="M52" s="65">
        <v>0</v>
      </c>
      <c r="N52" s="65">
        <v>386.23115000000001</v>
      </c>
      <c r="O52" s="65">
        <v>386.23115000000001</v>
      </c>
      <c r="Q52" s="65">
        <v>0</v>
      </c>
      <c r="R52" s="65">
        <v>5378.88</v>
      </c>
      <c r="S52" s="65">
        <v>5378.88</v>
      </c>
    </row>
    <row r="53" spans="1:19" x14ac:dyDescent="0.35">
      <c r="A53" s="86">
        <v>33</v>
      </c>
      <c r="B53" s="87" t="s">
        <v>38</v>
      </c>
      <c r="C53" s="63">
        <v>0</v>
      </c>
      <c r="D53" s="63">
        <v>0</v>
      </c>
      <c r="E53" s="63">
        <v>58</v>
      </c>
      <c r="F53" s="88">
        <f t="shared" si="2"/>
        <v>58</v>
      </c>
      <c r="H53" s="64">
        <v>0</v>
      </c>
      <c r="I53" s="64">
        <v>0</v>
      </c>
      <c r="J53" s="64">
        <v>72.349999999999994</v>
      </c>
      <c r="K53" s="64">
        <v>72.349999999999994</v>
      </c>
      <c r="M53" s="65">
        <v>0</v>
      </c>
      <c r="N53" s="65">
        <v>304.71280999999999</v>
      </c>
      <c r="O53" s="65">
        <v>304.71280999999999</v>
      </c>
      <c r="Q53" s="65">
        <v>0</v>
      </c>
      <c r="R53" s="65">
        <v>4368.4399999999996</v>
      </c>
      <c r="S53" s="65">
        <v>4368.4399999999996</v>
      </c>
    </row>
    <row r="54" spans="1:19" x14ac:dyDescent="0.35">
      <c r="A54" s="86">
        <v>34</v>
      </c>
      <c r="B54" s="87" t="s">
        <v>39</v>
      </c>
      <c r="C54" s="63">
        <v>0</v>
      </c>
      <c r="D54" s="63">
        <v>0</v>
      </c>
      <c r="E54" s="63">
        <v>25</v>
      </c>
      <c r="F54" s="88">
        <f t="shared" si="2"/>
        <v>25</v>
      </c>
      <c r="H54" s="64">
        <v>0</v>
      </c>
      <c r="I54" s="64">
        <v>0</v>
      </c>
      <c r="J54" s="64">
        <v>66.650000000000006</v>
      </c>
      <c r="K54" s="64">
        <v>66.650000000000006</v>
      </c>
      <c r="M54" s="65">
        <v>0</v>
      </c>
      <c r="N54" s="65">
        <v>253.08260999999999</v>
      </c>
      <c r="O54" s="65">
        <v>253.08260999999999</v>
      </c>
      <c r="Q54" s="65">
        <v>0</v>
      </c>
      <c r="R54" s="65">
        <v>3839.55</v>
      </c>
      <c r="S54" s="65">
        <v>3839.55</v>
      </c>
    </row>
    <row r="55" spans="1:19" x14ac:dyDescent="0.35">
      <c r="A55" s="86">
        <v>35</v>
      </c>
      <c r="B55" s="87" t="s">
        <v>40</v>
      </c>
      <c r="C55" s="63">
        <v>12</v>
      </c>
      <c r="D55" s="63">
        <v>0</v>
      </c>
      <c r="E55" s="63">
        <v>66</v>
      </c>
      <c r="F55" s="88">
        <f t="shared" si="2"/>
        <v>78</v>
      </c>
      <c r="H55" s="64">
        <v>77.67</v>
      </c>
      <c r="I55" s="64">
        <v>0</v>
      </c>
      <c r="J55" s="64">
        <v>77.95</v>
      </c>
      <c r="K55" s="64">
        <v>77.900000000000006</v>
      </c>
      <c r="M55" s="65">
        <v>262.875</v>
      </c>
      <c r="N55" s="65">
        <v>330.99809999999997</v>
      </c>
      <c r="O55" s="65">
        <v>319.64425</v>
      </c>
      <c r="Q55" s="65">
        <v>2947.7</v>
      </c>
      <c r="R55" s="65">
        <v>4245.0200000000004</v>
      </c>
      <c r="S55" s="65">
        <v>4028.8</v>
      </c>
    </row>
    <row r="56" spans="1:19" x14ac:dyDescent="0.35">
      <c r="A56" s="86">
        <v>36</v>
      </c>
      <c r="B56" s="87" t="s">
        <v>41</v>
      </c>
      <c r="C56" s="63">
        <v>2</v>
      </c>
      <c r="D56" s="63">
        <v>0</v>
      </c>
      <c r="E56" s="63">
        <v>20</v>
      </c>
      <c r="F56" s="88">
        <f t="shared" si="2"/>
        <v>22</v>
      </c>
      <c r="H56" s="64">
        <v>39</v>
      </c>
      <c r="I56" s="64">
        <v>0</v>
      </c>
      <c r="J56" s="64">
        <v>66.2</v>
      </c>
      <c r="K56" s="64">
        <v>64.900000000000006</v>
      </c>
      <c r="M56" s="65">
        <v>190</v>
      </c>
      <c r="N56" s="65">
        <v>302.35000000000002</v>
      </c>
      <c r="O56" s="65">
        <v>297</v>
      </c>
      <c r="Q56" s="65">
        <v>4871.8</v>
      </c>
      <c r="R56" s="65">
        <v>4506.67</v>
      </c>
      <c r="S56" s="65">
        <v>4524.0600000000004</v>
      </c>
    </row>
    <row r="57" spans="1:19" x14ac:dyDescent="0.35">
      <c r="A57" s="86">
        <v>37</v>
      </c>
      <c r="B57" s="87" t="s">
        <v>42</v>
      </c>
      <c r="C57" s="63">
        <v>17</v>
      </c>
      <c r="D57" s="63">
        <v>2</v>
      </c>
      <c r="E57" s="63">
        <v>77</v>
      </c>
      <c r="F57" s="88">
        <f t="shared" si="2"/>
        <v>96</v>
      </c>
      <c r="H57" s="64">
        <v>57.31</v>
      </c>
      <c r="I57" s="64">
        <v>63</v>
      </c>
      <c r="J57" s="64">
        <v>61.19</v>
      </c>
      <c r="K57" s="64">
        <v>60.55</v>
      </c>
      <c r="M57" s="65">
        <v>170.68438</v>
      </c>
      <c r="N57" s="65">
        <v>178.10493</v>
      </c>
      <c r="O57" s="65">
        <v>176.70812000000001</v>
      </c>
      <c r="Q57" s="65">
        <v>2905.13</v>
      </c>
      <c r="R57" s="65">
        <v>2999.94</v>
      </c>
      <c r="S57" s="65">
        <v>2982.09</v>
      </c>
    </row>
    <row r="58" spans="1:19" x14ac:dyDescent="0.35">
      <c r="A58" s="86">
        <v>38</v>
      </c>
      <c r="B58" s="87" t="s">
        <v>43</v>
      </c>
      <c r="C58" s="63">
        <v>7</v>
      </c>
      <c r="D58" s="63">
        <v>0</v>
      </c>
      <c r="E58" s="63">
        <v>32</v>
      </c>
      <c r="F58" s="88">
        <f t="shared" si="2"/>
        <v>39</v>
      </c>
      <c r="H58" s="64">
        <v>80</v>
      </c>
      <c r="I58" s="64">
        <v>0</v>
      </c>
      <c r="J58" s="64">
        <v>59.74</v>
      </c>
      <c r="K58" s="64">
        <v>63.47</v>
      </c>
      <c r="M58" s="65">
        <v>244.14285999999998</v>
      </c>
      <c r="N58" s="65">
        <v>204.14632999999998</v>
      </c>
      <c r="O58" s="65">
        <v>211.71323999999998</v>
      </c>
      <c r="Q58" s="65">
        <v>3014.4</v>
      </c>
      <c r="R58" s="65">
        <v>3416.72</v>
      </c>
      <c r="S58" s="65">
        <v>3340.61</v>
      </c>
    </row>
    <row r="59" spans="1:19" x14ac:dyDescent="0.35">
      <c r="A59" s="86">
        <v>39</v>
      </c>
      <c r="B59" s="87" t="s">
        <v>44</v>
      </c>
      <c r="C59" s="63">
        <v>1</v>
      </c>
      <c r="D59" s="63">
        <v>0</v>
      </c>
      <c r="E59" s="63">
        <v>9</v>
      </c>
      <c r="F59" s="88">
        <f t="shared" si="2"/>
        <v>10</v>
      </c>
      <c r="H59" s="64">
        <v>70</v>
      </c>
      <c r="I59" s="64">
        <v>0</v>
      </c>
      <c r="J59" s="64">
        <v>89.56</v>
      </c>
      <c r="K59" s="64">
        <v>87.6</v>
      </c>
      <c r="M59" s="89" t="s">
        <v>100</v>
      </c>
      <c r="N59" s="65">
        <v>254.00010999999998</v>
      </c>
      <c r="O59" s="65">
        <v>239.30010000000001</v>
      </c>
      <c r="Q59" s="89" t="s">
        <v>100</v>
      </c>
      <c r="R59" s="65">
        <v>2692.4</v>
      </c>
      <c r="S59" s="65">
        <v>2576.02</v>
      </c>
    </row>
    <row r="60" spans="1:19" x14ac:dyDescent="0.35">
      <c r="A60" s="86">
        <v>40</v>
      </c>
      <c r="B60" s="87" t="s">
        <v>45</v>
      </c>
      <c r="C60" s="63">
        <v>1</v>
      </c>
      <c r="D60" s="63">
        <v>1</v>
      </c>
      <c r="E60" s="63">
        <v>6</v>
      </c>
      <c r="F60" s="88">
        <f t="shared" si="2"/>
        <v>8</v>
      </c>
      <c r="H60" s="64">
        <v>56</v>
      </c>
      <c r="I60" s="64">
        <v>59</v>
      </c>
      <c r="J60" s="64">
        <v>64.83</v>
      </c>
      <c r="K60" s="64">
        <v>63</v>
      </c>
      <c r="M60" s="89" t="s">
        <v>100</v>
      </c>
      <c r="N60" s="65">
        <v>231</v>
      </c>
      <c r="O60" s="65">
        <v>219.16667000000001</v>
      </c>
      <c r="Q60" s="89" t="s">
        <v>100</v>
      </c>
      <c r="R60" s="65">
        <v>3624.52</v>
      </c>
      <c r="S60" s="65">
        <v>3496.62</v>
      </c>
    </row>
    <row r="61" spans="1:19" x14ac:dyDescent="0.35">
      <c r="A61" s="86">
        <v>41</v>
      </c>
      <c r="B61" s="87" t="s">
        <v>46</v>
      </c>
      <c r="C61" s="63">
        <v>0</v>
      </c>
      <c r="D61" s="63">
        <v>0</v>
      </c>
      <c r="E61" s="63">
        <v>3</v>
      </c>
      <c r="F61" s="88">
        <f t="shared" si="2"/>
        <v>3</v>
      </c>
      <c r="H61" s="64">
        <v>0</v>
      </c>
      <c r="I61" s="64">
        <v>0</v>
      </c>
      <c r="J61" s="64">
        <v>55</v>
      </c>
      <c r="K61" s="64">
        <v>55</v>
      </c>
      <c r="M61" s="65">
        <v>0</v>
      </c>
      <c r="N61" s="65">
        <v>272.33332999999999</v>
      </c>
      <c r="O61" s="65">
        <v>272.33332999999999</v>
      </c>
      <c r="Q61" s="65">
        <v>0</v>
      </c>
      <c r="R61" s="65">
        <v>4938.1899999999996</v>
      </c>
      <c r="S61" s="65">
        <v>4938.1899999999996</v>
      </c>
    </row>
    <row r="62" spans="1:19" x14ac:dyDescent="0.35">
      <c r="A62" s="86">
        <v>42</v>
      </c>
      <c r="B62" s="87" t="s">
        <v>47</v>
      </c>
      <c r="C62" s="63">
        <v>6</v>
      </c>
      <c r="D62" s="63">
        <v>0</v>
      </c>
      <c r="E62" s="63">
        <v>0</v>
      </c>
      <c r="F62" s="88">
        <f t="shared" si="2"/>
        <v>6</v>
      </c>
      <c r="H62" s="64">
        <v>110.67</v>
      </c>
      <c r="I62" s="64">
        <v>0</v>
      </c>
      <c r="J62" s="64">
        <v>0</v>
      </c>
      <c r="K62" s="64">
        <v>110.67</v>
      </c>
      <c r="M62" s="65">
        <v>539.04250000000002</v>
      </c>
      <c r="N62" s="65">
        <v>0</v>
      </c>
      <c r="O62" s="65">
        <v>539.04250000000002</v>
      </c>
      <c r="Q62" s="65">
        <v>4880.68</v>
      </c>
      <c r="R62" s="65">
        <v>0</v>
      </c>
      <c r="S62" s="65">
        <v>4880.68</v>
      </c>
    </row>
    <row r="63" spans="1:19" x14ac:dyDescent="0.35">
      <c r="A63" s="86">
        <v>43</v>
      </c>
      <c r="B63" s="87" t="s">
        <v>48</v>
      </c>
      <c r="C63" s="63">
        <v>9</v>
      </c>
      <c r="D63" s="63">
        <v>0</v>
      </c>
      <c r="E63" s="63">
        <v>41</v>
      </c>
      <c r="F63" s="88">
        <f t="shared" si="2"/>
        <v>50</v>
      </c>
      <c r="H63" s="64">
        <v>88.25</v>
      </c>
      <c r="I63" s="64">
        <v>0</v>
      </c>
      <c r="J63" s="64">
        <v>64.37</v>
      </c>
      <c r="K63" s="64">
        <v>68.52</v>
      </c>
      <c r="M63" s="65">
        <v>381.5</v>
      </c>
      <c r="N63" s="65">
        <v>252.74933999999999</v>
      </c>
      <c r="O63" s="65">
        <v>277.87142</v>
      </c>
      <c r="Q63" s="65">
        <v>4423.4799999999996</v>
      </c>
      <c r="R63" s="65">
        <v>3846.46</v>
      </c>
      <c r="S63" s="65">
        <v>3959.05</v>
      </c>
    </row>
    <row r="64" spans="1:19" x14ac:dyDescent="0.35">
      <c r="A64" s="86">
        <v>44</v>
      </c>
      <c r="B64" s="87" t="s">
        <v>49</v>
      </c>
      <c r="C64" s="63">
        <v>2</v>
      </c>
      <c r="D64" s="63">
        <v>0</v>
      </c>
      <c r="E64" s="63">
        <v>53</v>
      </c>
      <c r="F64" s="88">
        <f t="shared" si="2"/>
        <v>55</v>
      </c>
      <c r="H64" s="64">
        <v>61</v>
      </c>
      <c r="I64" s="64">
        <v>0</v>
      </c>
      <c r="J64" s="64">
        <v>75.430000000000007</v>
      </c>
      <c r="K64" s="64">
        <v>74.86</v>
      </c>
      <c r="M64" s="89" t="s">
        <v>100</v>
      </c>
      <c r="N64" s="65">
        <v>279.75151</v>
      </c>
      <c r="O64" s="65">
        <v>278.68002000000001</v>
      </c>
      <c r="Q64" s="89" t="s">
        <v>100</v>
      </c>
      <c r="R64" s="65">
        <v>3720.76</v>
      </c>
      <c r="S64" s="65">
        <v>3736.42</v>
      </c>
    </row>
    <row r="65" spans="1:19" x14ac:dyDescent="0.35">
      <c r="A65" s="86">
        <v>45</v>
      </c>
      <c r="B65" s="87" t="s">
        <v>50</v>
      </c>
      <c r="C65" s="63">
        <v>1</v>
      </c>
      <c r="D65" s="63">
        <v>0</v>
      </c>
      <c r="E65" s="63">
        <v>49</v>
      </c>
      <c r="F65" s="88">
        <f t="shared" si="2"/>
        <v>50</v>
      </c>
      <c r="H65" s="64">
        <v>65</v>
      </c>
      <c r="I65" s="64">
        <v>0</v>
      </c>
      <c r="J65" s="64">
        <v>66.069999999999993</v>
      </c>
      <c r="K65" s="64">
        <v>66.05</v>
      </c>
      <c r="M65" s="89" t="s">
        <v>100</v>
      </c>
      <c r="N65" s="65">
        <v>231.79857000000001</v>
      </c>
      <c r="O65" s="65">
        <v>231.87302</v>
      </c>
      <c r="Q65" s="89" t="s">
        <v>100</v>
      </c>
      <c r="R65" s="65">
        <v>3530.81</v>
      </c>
      <c r="S65" s="65">
        <v>3532.78</v>
      </c>
    </row>
    <row r="66" spans="1:19" x14ac:dyDescent="0.35">
      <c r="A66" s="86">
        <v>46</v>
      </c>
      <c r="B66" s="87" t="s">
        <v>51</v>
      </c>
      <c r="C66" s="63">
        <v>0</v>
      </c>
      <c r="D66" s="63">
        <v>0</v>
      </c>
      <c r="E66" s="63">
        <v>47</v>
      </c>
      <c r="F66" s="88">
        <f t="shared" si="2"/>
        <v>47</v>
      </c>
      <c r="H66" s="64">
        <v>0</v>
      </c>
      <c r="I66" s="64">
        <v>0</v>
      </c>
      <c r="J66" s="64">
        <v>61.56</v>
      </c>
      <c r="K66" s="64">
        <v>61.56</v>
      </c>
      <c r="M66" s="65">
        <v>0</v>
      </c>
      <c r="N66" s="65">
        <v>178.39473999999998</v>
      </c>
      <c r="O66" s="65">
        <v>178.39473999999998</v>
      </c>
      <c r="Q66" s="65">
        <v>0</v>
      </c>
      <c r="R66" s="65">
        <v>2991.96</v>
      </c>
      <c r="S66" s="65">
        <v>2991.96</v>
      </c>
    </row>
    <row r="67" spans="1:19" x14ac:dyDescent="0.35">
      <c r="A67" s="86">
        <v>47</v>
      </c>
      <c r="B67" s="87" t="s">
        <v>52</v>
      </c>
      <c r="C67" s="63">
        <v>0</v>
      </c>
      <c r="D67" s="63">
        <v>0</v>
      </c>
      <c r="E67" s="63">
        <v>0</v>
      </c>
      <c r="F67" s="88">
        <f t="shared" si="2"/>
        <v>0</v>
      </c>
      <c r="H67" s="64">
        <v>0</v>
      </c>
      <c r="I67" s="64">
        <v>0</v>
      </c>
      <c r="J67" s="64">
        <v>0</v>
      </c>
      <c r="K67" s="64">
        <v>0</v>
      </c>
      <c r="M67" s="65">
        <v>0</v>
      </c>
      <c r="N67" s="65">
        <v>0</v>
      </c>
      <c r="O67" s="65">
        <v>0</v>
      </c>
      <c r="Q67" s="65">
        <v>0</v>
      </c>
      <c r="R67" s="65">
        <v>0</v>
      </c>
      <c r="S67" s="65">
        <v>0</v>
      </c>
    </row>
    <row r="68" spans="1:19" x14ac:dyDescent="0.35">
      <c r="A68" s="86">
        <v>48</v>
      </c>
      <c r="B68" s="87" t="s">
        <v>53</v>
      </c>
      <c r="C68" s="63">
        <v>0</v>
      </c>
      <c r="D68" s="63">
        <v>0</v>
      </c>
      <c r="E68" s="63">
        <v>33</v>
      </c>
      <c r="F68" s="88">
        <f t="shared" si="2"/>
        <v>33</v>
      </c>
      <c r="H68" s="64">
        <v>0</v>
      </c>
      <c r="I68" s="64">
        <v>0</v>
      </c>
      <c r="J68" s="64">
        <v>76.930000000000007</v>
      </c>
      <c r="K68" s="64">
        <v>76.930000000000007</v>
      </c>
      <c r="M68" s="65">
        <v>0</v>
      </c>
      <c r="N68" s="65">
        <v>251.96814999999998</v>
      </c>
      <c r="O68" s="65">
        <v>251.96814999999998</v>
      </c>
      <c r="Q68" s="65">
        <v>0</v>
      </c>
      <c r="R68" s="65">
        <v>3315.1</v>
      </c>
      <c r="S68" s="65">
        <v>3315.1</v>
      </c>
    </row>
    <row r="69" spans="1:19" x14ac:dyDescent="0.35">
      <c r="A69" s="86">
        <v>49</v>
      </c>
      <c r="B69" s="87" t="s">
        <v>54</v>
      </c>
      <c r="C69" s="63">
        <v>0</v>
      </c>
      <c r="D69" s="63">
        <v>0</v>
      </c>
      <c r="E69" s="63">
        <v>9</v>
      </c>
      <c r="F69" s="88">
        <f t="shared" si="2"/>
        <v>9</v>
      </c>
      <c r="H69" s="64">
        <v>0</v>
      </c>
      <c r="I69" s="64">
        <v>0</v>
      </c>
      <c r="J69" s="64">
        <v>69.86</v>
      </c>
      <c r="K69" s="64">
        <v>69.86</v>
      </c>
      <c r="M69" s="65">
        <v>0</v>
      </c>
      <c r="N69" s="65">
        <v>209.25</v>
      </c>
      <c r="O69" s="65">
        <v>209.25</v>
      </c>
      <c r="Q69" s="65">
        <v>0</v>
      </c>
      <c r="R69" s="65">
        <v>3036.4</v>
      </c>
      <c r="S69" s="65">
        <v>3036.4</v>
      </c>
    </row>
    <row r="70" spans="1:19" x14ac:dyDescent="0.35">
      <c r="A70" s="86">
        <v>50</v>
      </c>
      <c r="B70" s="87" t="s">
        <v>55</v>
      </c>
      <c r="C70" s="63">
        <v>1</v>
      </c>
      <c r="D70" s="63">
        <v>0</v>
      </c>
      <c r="E70" s="63">
        <v>56</v>
      </c>
      <c r="F70" s="88">
        <f t="shared" si="2"/>
        <v>57</v>
      </c>
      <c r="H70" s="64">
        <v>220</v>
      </c>
      <c r="I70" s="64">
        <v>0</v>
      </c>
      <c r="J70" s="64">
        <v>57.42</v>
      </c>
      <c r="K70" s="64">
        <v>60.49</v>
      </c>
      <c r="M70" s="89" t="s">
        <v>100</v>
      </c>
      <c r="N70" s="65">
        <v>136.76</v>
      </c>
      <c r="O70" s="65">
        <v>141.86452</v>
      </c>
      <c r="Q70" s="89" t="s">
        <v>100</v>
      </c>
      <c r="R70" s="65">
        <v>2513.98</v>
      </c>
      <c r="S70" s="65">
        <v>2476.14</v>
      </c>
    </row>
    <row r="71" spans="1:19" x14ac:dyDescent="0.35">
      <c r="A71" s="86">
        <v>51</v>
      </c>
      <c r="B71" s="87" t="s">
        <v>56</v>
      </c>
      <c r="C71" s="63">
        <v>0</v>
      </c>
      <c r="D71" s="63">
        <v>0</v>
      </c>
      <c r="E71" s="63">
        <v>40</v>
      </c>
      <c r="F71" s="88">
        <f t="shared" si="2"/>
        <v>40</v>
      </c>
      <c r="H71" s="64">
        <v>0</v>
      </c>
      <c r="I71" s="64">
        <v>0</v>
      </c>
      <c r="J71" s="64">
        <v>54.15</v>
      </c>
      <c r="K71" s="64">
        <v>54.15</v>
      </c>
      <c r="M71" s="65">
        <v>0</v>
      </c>
      <c r="N71" s="65">
        <v>160.09563</v>
      </c>
      <c r="O71" s="65">
        <v>160.09563</v>
      </c>
      <c r="Q71" s="65">
        <v>0</v>
      </c>
      <c r="R71" s="65">
        <v>2985.73</v>
      </c>
      <c r="S71" s="65">
        <v>2985.73</v>
      </c>
    </row>
    <row r="72" spans="1:19" x14ac:dyDescent="0.35">
      <c r="A72" s="86">
        <v>52</v>
      </c>
      <c r="B72" s="87" t="s">
        <v>57</v>
      </c>
      <c r="C72" s="63">
        <v>1</v>
      </c>
      <c r="D72" s="63">
        <v>0</v>
      </c>
      <c r="E72" s="63">
        <v>68</v>
      </c>
      <c r="F72" s="88">
        <f t="shared" si="2"/>
        <v>69</v>
      </c>
      <c r="H72" s="64">
        <v>0</v>
      </c>
      <c r="I72" s="64">
        <v>0</v>
      </c>
      <c r="J72" s="64">
        <v>62.51</v>
      </c>
      <c r="K72" s="64">
        <v>62.51</v>
      </c>
      <c r="M72" s="65">
        <v>0</v>
      </c>
      <c r="N72" s="65">
        <v>191.52048000000002</v>
      </c>
      <c r="O72" s="65">
        <v>191.52048000000002</v>
      </c>
      <c r="Q72" s="65">
        <v>0</v>
      </c>
      <c r="R72" s="65">
        <v>3114.9</v>
      </c>
      <c r="S72" s="65">
        <v>3114.9</v>
      </c>
    </row>
    <row r="73" spans="1:19" x14ac:dyDescent="0.35">
      <c r="A73" s="86">
        <v>53</v>
      </c>
      <c r="B73" s="87" t="s">
        <v>58</v>
      </c>
      <c r="C73" s="63">
        <v>0</v>
      </c>
      <c r="D73" s="63">
        <v>0</v>
      </c>
      <c r="E73" s="63">
        <v>22</v>
      </c>
      <c r="F73" s="88">
        <f t="shared" si="2"/>
        <v>22</v>
      </c>
      <c r="H73" s="64">
        <v>0</v>
      </c>
      <c r="I73" s="64">
        <v>0</v>
      </c>
      <c r="J73" s="64">
        <v>65.44</v>
      </c>
      <c r="K73" s="64">
        <v>65.44</v>
      </c>
      <c r="M73" s="65">
        <v>0</v>
      </c>
      <c r="N73" s="65">
        <v>143.51390000000001</v>
      </c>
      <c r="O73" s="65">
        <v>143.51390000000001</v>
      </c>
      <c r="Q73" s="65">
        <v>0</v>
      </c>
      <c r="R73" s="65">
        <v>2251.84</v>
      </c>
      <c r="S73" s="65">
        <v>2251.84</v>
      </c>
    </row>
    <row r="74" spans="1:19" x14ac:dyDescent="0.35">
      <c r="A74" s="86">
        <v>54</v>
      </c>
      <c r="B74" s="87" t="s">
        <v>59</v>
      </c>
      <c r="C74" s="63">
        <v>0</v>
      </c>
      <c r="D74" s="63">
        <v>0</v>
      </c>
      <c r="E74" s="63">
        <v>6</v>
      </c>
      <c r="F74" s="88">
        <f t="shared" si="2"/>
        <v>6</v>
      </c>
      <c r="H74" s="64">
        <v>0</v>
      </c>
      <c r="I74" s="64">
        <v>0</v>
      </c>
      <c r="J74" s="64">
        <v>60.33</v>
      </c>
      <c r="K74" s="64">
        <v>60.33</v>
      </c>
      <c r="M74" s="65">
        <v>0</v>
      </c>
      <c r="N74" s="65">
        <v>133.10267000000002</v>
      </c>
      <c r="O74" s="65">
        <v>133.10267000000002</v>
      </c>
      <c r="Q74" s="65">
        <v>0</v>
      </c>
      <c r="R74" s="65">
        <v>2255.3200000000002</v>
      </c>
      <c r="S74" s="65">
        <v>2255.3200000000002</v>
      </c>
    </row>
    <row r="75" spans="1:19" x14ac:dyDescent="0.35">
      <c r="A75" s="86">
        <v>55</v>
      </c>
      <c r="B75" s="87" t="s">
        <v>60</v>
      </c>
      <c r="C75" s="63">
        <v>0</v>
      </c>
      <c r="D75" s="63">
        <v>0</v>
      </c>
      <c r="E75" s="63">
        <v>31</v>
      </c>
      <c r="F75" s="88">
        <f t="shared" si="2"/>
        <v>31</v>
      </c>
      <c r="H75" s="64">
        <v>0</v>
      </c>
      <c r="I75" s="64">
        <v>0</v>
      </c>
      <c r="J75" s="64">
        <v>60.76</v>
      </c>
      <c r="K75" s="64">
        <v>60.76</v>
      </c>
      <c r="M75" s="65">
        <v>0</v>
      </c>
      <c r="N75" s="65">
        <v>113.43263</v>
      </c>
      <c r="O75" s="65">
        <v>113.43263</v>
      </c>
      <c r="Q75" s="65">
        <v>0</v>
      </c>
      <c r="R75" s="65">
        <v>1913.56</v>
      </c>
      <c r="S75" s="65">
        <v>1913.56</v>
      </c>
    </row>
    <row r="76" spans="1:19" x14ac:dyDescent="0.35">
      <c r="A76" s="86">
        <v>56</v>
      </c>
      <c r="B76" s="87" t="s">
        <v>78</v>
      </c>
      <c r="C76" s="63">
        <v>0</v>
      </c>
      <c r="D76" s="63">
        <v>0</v>
      </c>
      <c r="E76" s="63">
        <v>0</v>
      </c>
      <c r="F76" s="88">
        <f t="shared" si="2"/>
        <v>0</v>
      </c>
      <c r="H76" s="64">
        <v>0</v>
      </c>
      <c r="I76" s="64">
        <v>0</v>
      </c>
      <c r="J76" s="64">
        <v>0</v>
      </c>
      <c r="K76" s="64">
        <v>0</v>
      </c>
      <c r="M76" s="65">
        <v>0</v>
      </c>
      <c r="N76" s="65">
        <v>0</v>
      </c>
      <c r="O76" s="65">
        <v>0</v>
      </c>
      <c r="Q76" s="65">
        <v>0</v>
      </c>
      <c r="R76" s="65">
        <v>0</v>
      </c>
      <c r="S76" s="65">
        <v>0</v>
      </c>
    </row>
    <row r="77" spans="1:19" x14ac:dyDescent="0.35">
      <c r="A77" s="86">
        <v>57</v>
      </c>
      <c r="B77" s="87" t="s">
        <v>61</v>
      </c>
      <c r="C77" s="63">
        <v>1</v>
      </c>
      <c r="D77" s="63">
        <v>0</v>
      </c>
      <c r="E77" s="63">
        <v>37</v>
      </c>
      <c r="F77" s="88">
        <f t="shared" si="2"/>
        <v>38</v>
      </c>
      <c r="H77" s="64">
        <v>115</v>
      </c>
      <c r="I77" s="64">
        <v>0</v>
      </c>
      <c r="J77" s="64">
        <v>63.25</v>
      </c>
      <c r="K77" s="64">
        <v>64.650000000000006</v>
      </c>
      <c r="M77" s="89" t="s">
        <v>100</v>
      </c>
      <c r="N77" s="65">
        <v>140.58582000000001</v>
      </c>
      <c r="O77" s="65">
        <v>143.66907</v>
      </c>
      <c r="Q77" s="89" t="s">
        <v>100</v>
      </c>
      <c r="R77" s="65">
        <v>2300.7199999999998</v>
      </c>
      <c r="S77" s="65">
        <v>2290.35</v>
      </c>
    </row>
    <row r="78" spans="1:19" x14ac:dyDescent="0.35">
      <c r="A78" s="86">
        <v>58</v>
      </c>
      <c r="B78" s="87" t="s">
        <v>62</v>
      </c>
      <c r="C78" s="63">
        <v>0</v>
      </c>
      <c r="D78" s="63">
        <v>0</v>
      </c>
      <c r="E78" s="63">
        <v>4</v>
      </c>
      <c r="F78" s="88">
        <f t="shared" si="2"/>
        <v>4</v>
      </c>
      <c r="H78" s="64">
        <v>0</v>
      </c>
      <c r="I78" s="64">
        <v>0</v>
      </c>
      <c r="J78" s="64">
        <v>72.33</v>
      </c>
      <c r="K78" s="64">
        <v>72.33</v>
      </c>
      <c r="M78" s="65">
        <v>0</v>
      </c>
      <c r="N78" s="65">
        <v>0</v>
      </c>
      <c r="O78" s="65">
        <v>0</v>
      </c>
      <c r="Q78" s="65">
        <v>0</v>
      </c>
      <c r="R78" s="65">
        <v>0</v>
      </c>
      <c r="S78" s="65">
        <v>0</v>
      </c>
    </row>
    <row r="79" spans="1:19" x14ac:dyDescent="0.35">
      <c r="A79" s="86">
        <v>59</v>
      </c>
      <c r="B79" s="87" t="s">
        <v>63</v>
      </c>
      <c r="C79" s="63">
        <v>4</v>
      </c>
      <c r="D79" s="63">
        <v>0</v>
      </c>
      <c r="E79" s="63">
        <v>35</v>
      </c>
      <c r="F79" s="88">
        <f t="shared" si="2"/>
        <v>39</v>
      </c>
      <c r="H79" s="64">
        <v>104</v>
      </c>
      <c r="I79" s="64">
        <v>0</v>
      </c>
      <c r="J79" s="64">
        <v>71.06</v>
      </c>
      <c r="K79" s="64">
        <v>74.819999999999993</v>
      </c>
      <c r="M79" s="65">
        <v>224.24444</v>
      </c>
      <c r="N79" s="65">
        <v>219.22567999999998</v>
      </c>
      <c r="O79" s="65">
        <v>219.85301999999999</v>
      </c>
      <c r="Q79" s="65">
        <v>2056.52</v>
      </c>
      <c r="R79" s="65">
        <v>3034.63</v>
      </c>
      <c r="S79" s="65">
        <v>2912.37</v>
      </c>
    </row>
    <row r="80" spans="1:19" x14ac:dyDescent="0.35">
      <c r="A80" s="86">
        <v>60</v>
      </c>
      <c r="B80" s="87" t="s">
        <v>64</v>
      </c>
      <c r="C80" s="63">
        <v>7</v>
      </c>
      <c r="D80" s="63">
        <v>4</v>
      </c>
      <c r="E80" s="63">
        <v>111</v>
      </c>
      <c r="F80" s="88">
        <f t="shared" si="2"/>
        <v>122</v>
      </c>
      <c r="H80" s="64">
        <v>60.43</v>
      </c>
      <c r="I80" s="64">
        <v>66</v>
      </c>
      <c r="J80" s="64">
        <v>74.89</v>
      </c>
      <c r="K80" s="64">
        <v>73.739999999999995</v>
      </c>
      <c r="M80" s="65">
        <v>448.42856999999998</v>
      </c>
      <c r="N80" s="65">
        <v>305.56878999999998</v>
      </c>
      <c r="O80" s="65">
        <v>315.37289000000004</v>
      </c>
      <c r="Q80" s="65">
        <v>7419.53</v>
      </c>
      <c r="R80" s="65">
        <v>4117.2</v>
      </c>
      <c r="S80" s="65">
        <v>4343.83</v>
      </c>
    </row>
    <row r="81" spans="1:19" x14ac:dyDescent="0.35">
      <c r="A81" s="86">
        <v>61</v>
      </c>
      <c r="B81" s="87" t="s">
        <v>65</v>
      </c>
      <c r="C81" s="63">
        <v>2</v>
      </c>
      <c r="D81" s="63">
        <v>0</v>
      </c>
      <c r="E81" s="63">
        <v>33</v>
      </c>
      <c r="F81" s="88">
        <f t="shared" si="2"/>
        <v>35</v>
      </c>
      <c r="H81" s="64">
        <v>64</v>
      </c>
      <c r="I81" s="64">
        <v>0</v>
      </c>
      <c r="J81" s="64">
        <v>72.150000000000006</v>
      </c>
      <c r="K81" s="64">
        <v>71.86</v>
      </c>
      <c r="M81" s="89" t="s">
        <v>100</v>
      </c>
      <c r="N81" s="65">
        <v>266.95652000000001</v>
      </c>
      <c r="O81" s="65">
        <v>271.625</v>
      </c>
      <c r="Q81" s="89" t="s">
        <v>100</v>
      </c>
      <c r="R81" s="65">
        <v>3875.46</v>
      </c>
      <c r="S81" s="65">
        <v>3960.73</v>
      </c>
    </row>
    <row r="82" spans="1:19" x14ac:dyDescent="0.35">
      <c r="A82" s="86">
        <v>62</v>
      </c>
      <c r="B82" s="90" t="s">
        <v>66</v>
      </c>
      <c r="C82" s="63">
        <v>2</v>
      </c>
      <c r="D82" s="63">
        <v>0</v>
      </c>
      <c r="E82" s="63">
        <v>38</v>
      </c>
      <c r="F82" s="88">
        <f t="shared" si="2"/>
        <v>40</v>
      </c>
      <c r="H82" s="64">
        <v>89.5</v>
      </c>
      <c r="I82" s="64">
        <v>0</v>
      </c>
      <c r="J82" s="64">
        <v>74.209999999999994</v>
      </c>
      <c r="K82" s="64">
        <v>74.97</v>
      </c>
      <c r="M82" s="89" t="s">
        <v>100</v>
      </c>
      <c r="N82" s="65">
        <v>290.92334999999997</v>
      </c>
      <c r="O82" s="65">
        <v>300.17831000000001</v>
      </c>
      <c r="Q82" s="89" t="s">
        <v>100</v>
      </c>
      <c r="R82" s="65">
        <v>4022</v>
      </c>
      <c r="S82" s="65">
        <v>4087.73</v>
      </c>
    </row>
    <row r="83" spans="1:19" x14ac:dyDescent="0.35">
      <c r="A83" s="86">
        <v>63</v>
      </c>
      <c r="B83" s="91" t="s">
        <v>67</v>
      </c>
      <c r="C83" s="63">
        <v>1</v>
      </c>
      <c r="D83" s="63">
        <v>0</v>
      </c>
      <c r="E83" s="63">
        <v>27</v>
      </c>
      <c r="F83" s="88">
        <f t="shared" si="2"/>
        <v>28</v>
      </c>
      <c r="H83" s="64">
        <v>80</v>
      </c>
      <c r="I83" s="64">
        <v>0</v>
      </c>
      <c r="J83" s="64">
        <v>73.58</v>
      </c>
      <c r="K83" s="64">
        <v>73.819999999999993</v>
      </c>
      <c r="M83" s="89" t="s">
        <v>100</v>
      </c>
      <c r="N83" s="65">
        <v>294.48894000000001</v>
      </c>
      <c r="O83" s="65">
        <v>302.74938000000003</v>
      </c>
      <c r="Q83" s="89" t="s">
        <v>100</v>
      </c>
      <c r="R83" s="65">
        <v>3960.71</v>
      </c>
      <c r="S83" s="65">
        <v>4052.78</v>
      </c>
    </row>
    <row r="84" spans="1:19" x14ac:dyDescent="0.35">
      <c r="A84" s="86">
        <v>64</v>
      </c>
      <c r="B84" s="91" t="s">
        <v>68</v>
      </c>
      <c r="C84" s="63">
        <v>0</v>
      </c>
      <c r="D84" s="63">
        <v>0</v>
      </c>
      <c r="E84" s="63">
        <v>66</v>
      </c>
      <c r="F84" s="88">
        <f t="shared" si="2"/>
        <v>66</v>
      </c>
      <c r="H84" s="64">
        <v>0</v>
      </c>
      <c r="I84" s="64">
        <v>0</v>
      </c>
      <c r="J84" s="64">
        <v>72.09</v>
      </c>
      <c r="K84" s="64">
        <v>72.09</v>
      </c>
      <c r="M84" s="65">
        <v>0</v>
      </c>
      <c r="N84" s="65">
        <v>329.61259000000001</v>
      </c>
      <c r="O84" s="65">
        <v>329.61259000000001</v>
      </c>
      <c r="Q84" s="65">
        <v>0</v>
      </c>
      <c r="R84" s="65">
        <v>4805.6400000000003</v>
      </c>
      <c r="S84" s="65">
        <v>4805.6400000000003</v>
      </c>
    </row>
    <row r="85" spans="1:19" x14ac:dyDescent="0.35">
      <c r="A85" s="86">
        <v>65</v>
      </c>
      <c r="B85" s="91" t="s">
        <v>69</v>
      </c>
      <c r="C85" s="63">
        <v>2</v>
      </c>
      <c r="D85" s="63">
        <v>0</v>
      </c>
      <c r="E85" s="63">
        <v>39</v>
      </c>
      <c r="F85" s="88">
        <f t="shared" ref="F85:F93" si="3">SUM(C85:E85)</f>
        <v>41</v>
      </c>
      <c r="H85" s="64">
        <v>26</v>
      </c>
      <c r="I85" s="64">
        <v>0</v>
      </c>
      <c r="J85" s="64">
        <v>66.7</v>
      </c>
      <c r="K85" s="64">
        <v>65.63</v>
      </c>
      <c r="M85" s="89" t="s">
        <v>100</v>
      </c>
      <c r="N85" s="65">
        <v>287.97917000000001</v>
      </c>
      <c r="O85" s="65">
        <v>283.72000000000003</v>
      </c>
      <c r="Q85" s="89" t="s">
        <v>100</v>
      </c>
      <c r="R85" s="65">
        <v>4725.57</v>
      </c>
      <c r="S85" s="65">
        <v>4815.78</v>
      </c>
    </row>
    <row r="86" spans="1:19" x14ac:dyDescent="0.35">
      <c r="A86" s="86">
        <v>66</v>
      </c>
      <c r="B86" s="91" t="s">
        <v>70</v>
      </c>
      <c r="C86" s="63">
        <v>1</v>
      </c>
      <c r="D86" s="63">
        <v>1</v>
      </c>
      <c r="E86" s="63">
        <v>29</v>
      </c>
      <c r="F86" s="88">
        <f t="shared" si="3"/>
        <v>31</v>
      </c>
      <c r="H86" s="64">
        <v>68</v>
      </c>
      <c r="I86" s="64">
        <v>63</v>
      </c>
      <c r="J86" s="64">
        <v>74.39</v>
      </c>
      <c r="K86" s="64">
        <v>73.8</v>
      </c>
      <c r="M86" s="89" t="s">
        <v>100</v>
      </c>
      <c r="N86" s="65">
        <v>377.14285999999998</v>
      </c>
      <c r="O86" s="65">
        <v>375.51724000000002</v>
      </c>
      <c r="Q86" s="89" t="s">
        <v>100</v>
      </c>
      <c r="R86" s="65">
        <v>5148.83</v>
      </c>
      <c r="S86" s="65">
        <v>5138.63</v>
      </c>
    </row>
    <row r="87" spans="1:19" x14ac:dyDescent="0.35">
      <c r="A87" s="86">
        <v>67</v>
      </c>
      <c r="B87" s="91" t="s">
        <v>71</v>
      </c>
      <c r="C87" s="63">
        <v>2</v>
      </c>
      <c r="D87" s="63">
        <v>0</v>
      </c>
      <c r="E87" s="63">
        <v>21</v>
      </c>
      <c r="F87" s="88">
        <f t="shared" si="3"/>
        <v>23</v>
      </c>
      <c r="H87" s="64">
        <v>51.5</v>
      </c>
      <c r="I87" s="64">
        <v>0</v>
      </c>
      <c r="J87" s="64">
        <v>90.45</v>
      </c>
      <c r="K87" s="64">
        <v>86.91</v>
      </c>
      <c r="M87" s="89" t="s">
        <v>100</v>
      </c>
      <c r="N87" s="65">
        <v>572.6</v>
      </c>
      <c r="O87" s="65">
        <v>557.6</v>
      </c>
      <c r="Q87" s="89" t="s">
        <v>100</v>
      </c>
      <c r="R87" s="65">
        <v>6544.23</v>
      </c>
      <c r="S87" s="65">
        <v>6664.22</v>
      </c>
    </row>
    <row r="88" spans="1:19" x14ac:dyDescent="0.35">
      <c r="A88" s="86">
        <v>68</v>
      </c>
      <c r="B88" s="91" t="s">
        <v>72</v>
      </c>
      <c r="C88" s="63">
        <v>16</v>
      </c>
      <c r="D88" s="63">
        <v>1</v>
      </c>
      <c r="E88" s="63">
        <v>71</v>
      </c>
      <c r="F88" s="88">
        <f t="shared" si="3"/>
        <v>88</v>
      </c>
      <c r="H88" s="64">
        <v>71.94</v>
      </c>
      <c r="I88" s="64">
        <v>83</v>
      </c>
      <c r="J88" s="64">
        <v>67.37</v>
      </c>
      <c r="K88" s="64">
        <v>68.45</v>
      </c>
      <c r="M88" s="65">
        <v>446.48007000000001</v>
      </c>
      <c r="N88" s="65">
        <v>394.83262999999999</v>
      </c>
      <c r="O88" s="65">
        <v>405.99964</v>
      </c>
      <c r="Q88" s="65">
        <v>6434.01</v>
      </c>
      <c r="R88" s="65">
        <v>5874.65</v>
      </c>
      <c r="S88" s="65">
        <v>5995.59</v>
      </c>
    </row>
    <row r="89" spans="1:19" x14ac:dyDescent="0.35">
      <c r="A89" s="86">
        <v>69</v>
      </c>
      <c r="B89" s="91" t="s">
        <v>73</v>
      </c>
      <c r="C89" s="63">
        <v>18</v>
      </c>
      <c r="D89" s="63">
        <v>2</v>
      </c>
      <c r="E89" s="63">
        <v>30</v>
      </c>
      <c r="F89" s="88">
        <f t="shared" si="3"/>
        <v>50</v>
      </c>
      <c r="H89" s="64">
        <v>62.47</v>
      </c>
      <c r="I89" s="64">
        <v>69</v>
      </c>
      <c r="J89" s="64">
        <v>97.9</v>
      </c>
      <c r="K89" s="64">
        <v>84.47</v>
      </c>
      <c r="M89" s="65">
        <v>382.37940999999995</v>
      </c>
      <c r="N89" s="65">
        <v>577.29936999999995</v>
      </c>
      <c r="O89" s="65">
        <v>501.98939000000001</v>
      </c>
      <c r="Q89" s="65">
        <v>6107</v>
      </c>
      <c r="R89" s="65">
        <v>5799.11</v>
      </c>
      <c r="S89" s="65">
        <v>5918.07</v>
      </c>
    </row>
    <row r="90" spans="1:19" x14ac:dyDescent="0.35">
      <c r="A90" s="86">
        <v>70</v>
      </c>
      <c r="B90" s="91" t="s">
        <v>74</v>
      </c>
      <c r="C90" s="63">
        <v>3</v>
      </c>
      <c r="D90" s="63">
        <v>2</v>
      </c>
      <c r="E90" s="63">
        <v>69</v>
      </c>
      <c r="F90" s="88">
        <f t="shared" si="3"/>
        <v>74</v>
      </c>
      <c r="H90" s="64">
        <v>50</v>
      </c>
      <c r="I90" s="64">
        <v>69</v>
      </c>
      <c r="J90" s="64">
        <v>59.75</v>
      </c>
      <c r="K90" s="64">
        <v>59.73</v>
      </c>
      <c r="M90" s="65">
        <v>240</v>
      </c>
      <c r="N90" s="65">
        <v>158.27160000000001</v>
      </c>
      <c r="O90" s="65">
        <v>161.04204999999999</v>
      </c>
      <c r="Q90" s="65">
        <v>4870.13</v>
      </c>
      <c r="R90" s="65">
        <v>2618.77</v>
      </c>
      <c r="S90" s="65">
        <v>2695.09</v>
      </c>
    </row>
    <row r="91" spans="1:19" x14ac:dyDescent="0.35">
      <c r="A91" s="86">
        <v>71</v>
      </c>
      <c r="B91" s="91" t="s">
        <v>75</v>
      </c>
      <c r="C91" s="63">
        <v>12</v>
      </c>
      <c r="D91" s="63">
        <v>5</v>
      </c>
      <c r="E91" s="63">
        <v>32</v>
      </c>
      <c r="F91" s="88">
        <f t="shared" si="3"/>
        <v>49</v>
      </c>
      <c r="H91" s="64">
        <v>75.58</v>
      </c>
      <c r="I91" s="64">
        <v>76.599999999999994</v>
      </c>
      <c r="J91" s="64">
        <v>82.66</v>
      </c>
      <c r="K91" s="64">
        <v>80.31</v>
      </c>
      <c r="M91" s="65">
        <v>466.57</v>
      </c>
      <c r="N91" s="65">
        <v>408.37092999999999</v>
      </c>
      <c r="O91" s="65">
        <v>425.83065000000005</v>
      </c>
      <c r="Q91" s="65">
        <v>5688.6</v>
      </c>
      <c r="R91" s="65">
        <v>4708.63</v>
      </c>
      <c r="S91" s="65">
        <v>5002.62</v>
      </c>
    </row>
    <row r="92" spans="1:19" x14ac:dyDescent="0.35">
      <c r="A92" s="86">
        <v>72</v>
      </c>
      <c r="B92" s="91" t="s">
        <v>76</v>
      </c>
      <c r="C92" s="63">
        <v>0</v>
      </c>
      <c r="D92" s="63">
        <v>0</v>
      </c>
      <c r="E92" s="63">
        <v>35</v>
      </c>
      <c r="F92" s="88">
        <f t="shared" si="3"/>
        <v>35</v>
      </c>
      <c r="H92" s="64">
        <v>0</v>
      </c>
      <c r="I92" s="64">
        <v>0</v>
      </c>
      <c r="J92" s="64">
        <v>73.03</v>
      </c>
      <c r="K92" s="64">
        <v>73.03</v>
      </c>
      <c r="M92" s="65">
        <v>0</v>
      </c>
      <c r="N92" s="65">
        <v>260.46300000000002</v>
      </c>
      <c r="O92" s="65">
        <v>260.46300000000002</v>
      </c>
      <c r="Q92" s="65">
        <v>0</v>
      </c>
      <c r="R92" s="65">
        <v>3538.78</v>
      </c>
      <c r="S92" s="65">
        <v>3538.78</v>
      </c>
    </row>
    <row r="93" spans="1:19" x14ac:dyDescent="0.35">
      <c r="A93" s="92">
        <v>73</v>
      </c>
      <c r="B93" s="93" t="s">
        <v>77</v>
      </c>
      <c r="C93" s="94">
        <v>0</v>
      </c>
      <c r="D93" s="94">
        <v>0</v>
      </c>
      <c r="E93" s="94">
        <v>63</v>
      </c>
      <c r="F93" s="95">
        <f t="shared" si="3"/>
        <v>63</v>
      </c>
      <c r="G93" s="96"/>
      <c r="H93" s="97">
        <v>0</v>
      </c>
      <c r="I93" s="97">
        <v>0</v>
      </c>
      <c r="J93" s="97">
        <v>67.67</v>
      </c>
      <c r="K93" s="97">
        <v>67.67</v>
      </c>
      <c r="L93" s="97"/>
      <c r="M93" s="98">
        <v>0</v>
      </c>
      <c r="N93" s="98">
        <v>244.15217000000001</v>
      </c>
      <c r="O93" s="98">
        <v>244.15217000000001</v>
      </c>
      <c r="P93" s="98"/>
      <c r="Q93" s="98">
        <v>0</v>
      </c>
      <c r="R93" s="98">
        <v>3622.97</v>
      </c>
      <c r="S93" s="98">
        <v>3622.97</v>
      </c>
    </row>
    <row r="95" spans="1:19" x14ac:dyDescent="0.35">
      <c r="B95" s="99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4303-83C1-44A5-92E8-E531716F78F8}">
  <dimension ref="A1:S95"/>
  <sheetViews>
    <sheetView topLeftCell="A5" workbookViewId="0">
      <selection activeCell="Q83" sqref="Q83"/>
    </sheetView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19" width="10.73046875" style="34" customWidth="1"/>
    <col min="20" max="16384" width="11.3984375" style="1"/>
  </cols>
  <sheetData>
    <row r="1" spans="1:19" ht="13.9" x14ac:dyDescent="0.4">
      <c r="A1" s="2" t="s">
        <v>91</v>
      </c>
    </row>
    <row r="2" spans="1:19" ht="13.15" x14ac:dyDescent="0.4">
      <c r="A2" s="31" t="s">
        <v>103</v>
      </c>
    </row>
    <row r="4" spans="1:19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19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58"/>
      <c r="Q5" s="54" t="s">
        <v>5</v>
      </c>
      <c r="R5" s="54" t="s">
        <v>2</v>
      </c>
      <c r="S5" s="54" t="s">
        <v>3</v>
      </c>
    </row>
    <row r="6" spans="1:19" s="3" customFormat="1" x14ac:dyDescent="0.35">
      <c r="B6" s="103" t="s">
        <v>94</v>
      </c>
      <c r="C6" s="6">
        <v>1595</v>
      </c>
      <c r="D6" s="6">
        <v>146</v>
      </c>
      <c r="E6" s="6">
        <v>14675</v>
      </c>
      <c r="F6" s="6">
        <v>16416</v>
      </c>
      <c r="G6" s="1"/>
      <c r="H6" s="7">
        <v>78.47</v>
      </c>
      <c r="I6" s="7">
        <v>67.05</v>
      </c>
      <c r="J6" s="7">
        <v>79.58</v>
      </c>
      <c r="K6" s="7">
        <v>79.36</v>
      </c>
      <c r="L6" s="1"/>
      <c r="M6" s="34">
        <v>416.56630000000001</v>
      </c>
      <c r="N6" s="34">
        <v>381.72557</v>
      </c>
      <c r="O6" s="34">
        <v>385.39537000000001</v>
      </c>
      <c r="P6" s="34"/>
      <c r="Q6" s="34">
        <v>5168.22</v>
      </c>
      <c r="R6" s="34">
        <v>4549.59</v>
      </c>
      <c r="S6" s="34">
        <v>4614.75</v>
      </c>
    </row>
    <row r="7" spans="1:19" s="3" customFormat="1" x14ac:dyDescent="0.35">
      <c r="C7" s="38"/>
      <c r="D7" s="38"/>
      <c r="E7" s="38"/>
      <c r="F7" s="38"/>
      <c r="H7" s="105"/>
      <c r="I7" s="105"/>
      <c r="J7" s="105"/>
      <c r="K7" s="105"/>
      <c r="L7" s="106"/>
      <c r="M7" s="107"/>
      <c r="N7" s="107"/>
      <c r="O7" s="107"/>
      <c r="P7" s="108"/>
      <c r="Q7" s="107"/>
      <c r="R7" s="107"/>
      <c r="S7" s="107"/>
    </row>
    <row r="8" spans="1:19" s="3" customFormat="1" x14ac:dyDescent="0.35">
      <c r="B8" s="115" t="s">
        <v>88</v>
      </c>
      <c r="C8" s="38"/>
      <c r="D8" s="38"/>
      <c r="E8" s="38"/>
      <c r="F8" s="38"/>
      <c r="H8" s="105"/>
      <c r="I8" s="105"/>
      <c r="J8" s="105"/>
      <c r="K8" s="105"/>
      <c r="L8" s="106"/>
      <c r="M8" s="107"/>
      <c r="N8" s="107"/>
      <c r="O8" s="107"/>
      <c r="P8" s="108"/>
      <c r="Q8" s="107"/>
      <c r="R8" s="107"/>
      <c r="S8" s="107"/>
    </row>
    <row r="9" spans="1:19" s="3" customFormat="1" x14ac:dyDescent="0.35">
      <c r="A9" s="112">
        <v>1</v>
      </c>
      <c r="B9" s="3" t="s">
        <v>79</v>
      </c>
      <c r="C9" s="38">
        <v>92</v>
      </c>
      <c r="D9" s="38">
        <v>0</v>
      </c>
      <c r="E9" s="38">
        <v>1444</v>
      </c>
      <c r="F9" s="38">
        <f t="shared" ref="F9:F18" si="0">SUM(C9:E9)</f>
        <v>1536</v>
      </c>
      <c r="H9" s="105">
        <v>66.53</v>
      </c>
      <c r="I9" s="105">
        <v>0</v>
      </c>
      <c r="J9" s="105">
        <v>66.569999999999993</v>
      </c>
      <c r="K9" s="105">
        <v>66.56</v>
      </c>
      <c r="L9" s="106"/>
      <c r="M9" s="107">
        <v>302.05682999999999</v>
      </c>
      <c r="N9" s="107">
        <v>269.79917</v>
      </c>
      <c r="O9" s="107">
        <v>271.79449</v>
      </c>
      <c r="P9" s="108"/>
      <c r="Q9" s="107">
        <v>4818.6499999999996</v>
      </c>
      <c r="R9" s="107">
        <v>4169.0200000000004</v>
      </c>
      <c r="S9" s="107">
        <v>4209.2</v>
      </c>
    </row>
    <row r="10" spans="1:19" s="3" customFormat="1" x14ac:dyDescent="0.35">
      <c r="A10" s="112">
        <v>2</v>
      </c>
      <c r="B10" s="3" t="s">
        <v>80</v>
      </c>
      <c r="C10" s="38">
        <v>394</v>
      </c>
      <c r="D10" s="38">
        <v>23</v>
      </c>
      <c r="E10" s="38">
        <v>2352</v>
      </c>
      <c r="F10" s="38">
        <f t="shared" si="0"/>
        <v>2769</v>
      </c>
      <c r="H10" s="105">
        <v>94.16</v>
      </c>
      <c r="I10" s="105">
        <v>91.18</v>
      </c>
      <c r="J10" s="105">
        <v>92.45</v>
      </c>
      <c r="K10" s="105">
        <v>92.67</v>
      </c>
      <c r="L10" s="106"/>
      <c r="M10" s="107">
        <v>587.65695999999991</v>
      </c>
      <c r="N10" s="107">
        <v>521.68922999999995</v>
      </c>
      <c r="O10" s="107">
        <v>531.04796999999996</v>
      </c>
      <c r="P10" s="108"/>
      <c r="Q10" s="107">
        <v>6014.71</v>
      </c>
      <c r="R10" s="107">
        <v>5554.45</v>
      </c>
      <c r="S10" s="107">
        <v>5619.74</v>
      </c>
    </row>
    <row r="11" spans="1:19" s="3" customFormat="1" x14ac:dyDescent="0.35">
      <c r="A11" s="112">
        <v>3</v>
      </c>
      <c r="B11" s="3" t="s">
        <v>81</v>
      </c>
      <c r="C11" s="38">
        <v>267</v>
      </c>
      <c r="D11" s="38">
        <v>65</v>
      </c>
      <c r="E11" s="38">
        <v>1724</v>
      </c>
      <c r="F11" s="38">
        <f t="shared" si="0"/>
        <v>2056</v>
      </c>
      <c r="H11" s="105">
        <v>65.5</v>
      </c>
      <c r="I11" s="105">
        <v>58.53</v>
      </c>
      <c r="J11" s="105">
        <v>66.7</v>
      </c>
      <c r="K11" s="105">
        <v>66.25</v>
      </c>
      <c r="L11" s="106"/>
      <c r="M11" s="107">
        <v>372.78166999999996</v>
      </c>
      <c r="N11" s="107">
        <v>272.13751999999999</v>
      </c>
      <c r="O11" s="107">
        <v>286.37840999999997</v>
      </c>
      <c r="P11" s="108"/>
      <c r="Q11" s="107">
        <v>5666.56</v>
      </c>
      <c r="R11" s="107">
        <v>4193.6400000000003</v>
      </c>
      <c r="S11" s="107">
        <v>4402.0600000000004</v>
      </c>
    </row>
    <row r="12" spans="1:19" s="3" customFormat="1" x14ac:dyDescent="0.35">
      <c r="A12" s="112">
        <v>4</v>
      </c>
      <c r="B12" s="3" t="s">
        <v>82</v>
      </c>
      <c r="C12" s="38">
        <v>23</v>
      </c>
      <c r="D12" s="38">
        <v>0</v>
      </c>
      <c r="E12" s="38">
        <v>647</v>
      </c>
      <c r="F12" s="38">
        <f t="shared" si="0"/>
        <v>670</v>
      </c>
      <c r="H12" s="105">
        <v>87.21</v>
      </c>
      <c r="I12" s="105">
        <v>0</v>
      </c>
      <c r="J12" s="105">
        <v>98.61</v>
      </c>
      <c r="K12" s="105">
        <v>98.23</v>
      </c>
      <c r="L12" s="106"/>
      <c r="M12" s="107">
        <v>554.94742000000008</v>
      </c>
      <c r="N12" s="107">
        <v>575.40588000000002</v>
      </c>
      <c r="O12" s="107">
        <v>574.66968999999995</v>
      </c>
      <c r="P12" s="108"/>
      <c r="Q12" s="107">
        <v>6382.38</v>
      </c>
      <c r="R12" s="107">
        <v>5576.34</v>
      </c>
      <c r="S12" s="107">
        <v>5605.34</v>
      </c>
    </row>
    <row r="13" spans="1:19" s="3" customFormat="1" x14ac:dyDescent="0.35">
      <c r="A13" s="112">
        <v>5</v>
      </c>
      <c r="B13" s="3" t="s">
        <v>83</v>
      </c>
      <c r="C13" s="38">
        <v>47</v>
      </c>
      <c r="D13" s="38">
        <v>0</v>
      </c>
      <c r="E13" s="38">
        <v>1242</v>
      </c>
      <c r="F13" s="38">
        <f t="shared" si="0"/>
        <v>1289</v>
      </c>
      <c r="H13" s="105">
        <v>126.92</v>
      </c>
      <c r="I13" s="105">
        <v>0</v>
      </c>
      <c r="J13" s="105">
        <v>125.82</v>
      </c>
      <c r="K13" s="105">
        <v>125.86</v>
      </c>
      <c r="L13" s="106"/>
      <c r="M13" s="107">
        <v>851.41904</v>
      </c>
      <c r="N13" s="107">
        <v>795.34587999999997</v>
      </c>
      <c r="O13" s="107">
        <v>797.13228000000004</v>
      </c>
      <c r="P13" s="108"/>
      <c r="Q13" s="107">
        <v>6524.16</v>
      </c>
      <c r="R13" s="107">
        <v>6312.09</v>
      </c>
      <c r="S13" s="107">
        <v>6318.84</v>
      </c>
    </row>
    <row r="14" spans="1:19" s="3" customFormat="1" x14ac:dyDescent="0.35">
      <c r="A14" s="112">
        <v>6</v>
      </c>
      <c r="B14" s="3" t="s">
        <v>84</v>
      </c>
      <c r="C14" s="38">
        <v>70</v>
      </c>
      <c r="D14" s="38">
        <v>3</v>
      </c>
      <c r="E14" s="38">
        <v>1041</v>
      </c>
      <c r="F14" s="38">
        <f t="shared" si="0"/>
        <v>1114</v>
      </c>
      <c r="H14" s="105">
        <v>87.2</v>
      </c>
      <c r="I14" s="105">
        <v>69</v>
      </c>
      <c r="J14" s="105">
        <v>79.83</v>
      </c>
      <c r="K14" s="105">
        <v>80.239999999999995</v>
      </c>
      <c r="L14" s="106"/>
      <c r="M14" s="107">
        <v>413.31948999999997</v>
      </c>
      <c r="N14" s="107">
        <v>396.94059000000004</v>
      </c>
      <c r="O14" s="107">
        <v>397.91278000000005</v>
      </c>
      <c r="P14" s="108"/>
      <c r="Q14" s="107">
        <v>4556.51</v>
      </c>
      <c r="R14" s="107">
        <v>5047.1400000000003</v>
      </c>
      <c r="S14" s="107">
        <v>5018.0200000000004</v>
      </c>
    </row>
    <row r="15" spans="1:19" s="3" customFormat="1" x14ac:dyDescent="0.35">
      <c r="A15" s="112">
        <v>7</v>
      </c>
      <c r="B15" s="3" t="s">
        <v>85</v>
      </c>
      <c r="C15" s="38">
        <v>398</v>
      </c>
      <c r="D15" s="38">
        <v>29</v>
      </c>
      <c r="E15" s="38">
        <v>1271</v>
      </c>
      <c r="F15" s="38">
        <f t="shared" si="0"/>
        <v>1698</v>
      </c>
      <c r="H15" s="105">
        <v>71.59</v>
      </c>
      <c r="I15" s="105">
        <v>69.56</v>
      </c>
      <c r="J15" s="105">
        <v>67.94</v>
      </c>
      <c r="K15" s="105">
        <v>68.84</v>
      </c>
      <c r="L15" s="106"/>
      <c r="M15" s="107">
        <v>278.11748</v>
      </c>
      <c r="N15" s="107">
        <v>249.69886</v>
      </c>
      <c r="O15" s="107">
        <v>256.84181999999998</v>
      </c>
      <c r="P15" s="108"/>
      <c r="Q15" s="107">
        <v>3803.6</v>
      </c>
      <c r="R15" s="107">
        <v>3670.47</v>
      </c>
      <c r="S15" s="107">
        <v>3703.93</v>
      </c>
    </row>
    <row r="16" spans="1:19" s="3" customFormat="1" x14ac:dyDescent="0.35">
      <c r="A16" s="112">
        <v>8</v>
      </c>
      <c r="B16" s="3" t="s">
        <v>86</v>
      </c>
      <c r="C16" s="38">
        <v>17</v>
      </c>
      <c r="D16" s="38">
        <v>0</v>
      </c>
      <c r="E16" s="38">
        <v>1624</v>
      </c>
      <c r="F16" s="38">
        <f t="shared" si="0"/>
        <v>1641</v>
      </c>
      <c r="H16" s="105">
        <v>82.54</v>
      </c>
      <c r="I16" s="105">
        <v>0</v>
      </c>
      <c r="J16" s="105">
        <v>63.83</v>
      </c>
      <c r="K16" s="105">
        <v>64</v>
      </c>
      <c r="L16" s="106"/>
      <c r="M16" s="107">
        <v>274.95299999999997</v>
      </c>
      <c r="N16" s="107">
        <v>186.08923000000001</v>
      </c>
      <c r="O16" s="107">
        <v>187.16788</v>
      </c>
      <c r="P16" s="108"/>
      <c r="Q16" s="107">
        <v>4020.97</v>
      </c>
      <c r="R16" s="107">
        <v>2931.52</v>
      </c>
      <c r="S16" s="107">
        <v>2944.74</v>
      </c>
    </row>
    <row r="17" spans="1:19" s="3" customFormat="1" x14ac:dyDescent="0.35">
      <c r="A17" s="112">
        <v>9</v>
      </c>
      <c r="B17" s="3" t="s">
        <v>64</v>
      </c>
      <c r="C17" s="38">
        <v>86</v>
      </c>
      <c r="D17" s="38">
        <v>5</v>
      </c>
      <c r="E17" s="38">
        <v>1177</v>
      </c>
      <c r="F17" s="38">
        <f t="shared" si="0"/>
        <v>1268</v>
      </c>
      <c r="H17" s="105">
        <v>84.19</v>
      </c>
      <c r="I17" s="105">
        <v>70</v>
      </c>
      <c r="J17" s="105">
        <v>71.97</v>
      </c>
      <c r="K17" s="105">
        <v>72.81</v>
      </c>
      <c r="L17" s="106"/>
      <c r="M17" s="107">
        <v>407.85273000000001</v>
      </c>
      <c r="N17" s="107">
        <v>249.3202</v>
      </c>
      <c r="O17" s="107">
        <v>261.76316000000003</v>
      </c>
      <c r="P17" s="108"/>
      <c r="Q17" s="107">
        <v>5085.71</v>
      </c>
      <c r="R17" s="107">
        <v>3484</v>
      </c>
      <c r="S17" s="107">
        <v>3609.72</v>
      </c>
    </row>
    <row r="18" spans="1:19" s="3" customFormat="1" x14ac:dyDescent="0.35">
      <c r="A18" s="112">
        <v>10</v>
      </c>
      <c r="B18" s="3" t="s">
        <v>87</v>
      </c>
      <c r="C18" s="38">
        <v>197</v>
      </c>
      <c r="D18" s="38">
        <v>21</v>
      </c>
      <c r="E18" s="38">
        <v>2054</v>
      </c>
      <c r="F18" s="38">
        <f t="shared" si="0"/>
        <v>2272</v>
      </c>
      <c r="H18" s="105">
        <v>69.430000000000007</v>
      </c>
      <c r="I18" s="105">
        <v>69.7</v>
      </c>
      <c r="J18" s="105">
        <v>73.92</v>
      </c>
      <c r="K18" s="105">
        <v>73.48</v>
      </c>
      <c r="L18" s="106"/>
      <c r="M18" s="107">
        <v>410.68106</v>
      </c>
      <c r="N18" s="107">
        <v>334.14184999999998</v>
      </c>
      <c r="O18" s="107">
        <v>341.91699</v>
      </c>
      <c r="P18" s="108"/>
      <c r="Q18" s="107">
        <v>5896.36</v>
      </c>
      <c r="R18" s="107">
        <v>4412.34</v>
      </c>
      <c r="S18" s="107">
        <v>4563.09</v>
      </c>
    </row>
    <row r="19" spans="1:19" s="3" customFormat="1" x14ac:dyDescent="0.35">
      <c r="A19" s="112"/>
      <c r="C19" s="38"/>
      <c r="D19" s="38"/>
      <c r="E19" s="38"/>
      <c r="F19" s="38"/>
      <c r="H19" s="105"/>
      <c r="I19" s="105"/>
      <c r="J19" s="105"/>
      <c r="K19" s="105"/>
      <c r="L19" s="106"/>
      <c r="M19" s="107"/>
      <c r="N19" s="107"/>
      <c r="O19" s="107"/>
      <c r="P19" s="108"/>
      <c r="Q19" s="107"/>
      <c r="R19" s="107"/>
      <c r="S19" s="107"/>
    </row>
    <row r="20" spans="1:19" s="3" customFormat="1" x14ac:dyDescent="0.35">
      <c r="A20" s="112"/>
      <c r="B20" s="115" t="s">
        <v>89</v>
      </c>
      <c r="C20" s="38"/>
      <c r="D20" s="38"/>
      <c r="E20" s="38"/>
      <c r="F20" s="38"/>
      <c r="H20" s="105"/>
      <c r="I20" s="105"/>
      <c r="J20" s="105"/>
      <c r="K20" s="105"/>
      <c r="L20" s="106"/>
      <c r="M20" s="107"/>
      <c r="N20" s="107"/>
      <c r="O20" s="107"/>
      <c r="P20" s="108"/>
      <c r="Q20" s="107"/>
      <c r="R20" s="107"/>
      <c r="S20" s="107"/>
    </row>
    <row r="21" spans="1:19" x14ac:dyDescent="0.35">
      <c r="A21" s="112">
        <v>1</v>
      </c>
      <c r="B21" s="6" t="s">
        <v>8</v>
      </c>
      <c r="C21" s="6">
        <v>28</v>
      </c>
      <c r="D21" s="6">
        <v>0</v>
      </c>
      <c r="E21" s="6">
        <v>722</v>
      </c>
      <c r="F21" s="38">
        <f t="shared" ref="F21:F84" si="1">SUM(C21:E21)</f>
        <v>750</v>
      </c>
      <c r="H21" s="7">
        <v>57.4</v>
      </c>
      <c r="I21" s="7">
        <v>0</v>
      </c>
      <c r="J21" s="7">
        <v>62.4</v>
      </c>
      <c r="K21" s="7">
        <v>62.19</v>
      </c>
      <c r="M21" s="34">
        <v>263.8</v>
      </c>
      <c r="N21" s="34">
        <v>212.24486999999999</v>
      </c>
      <c r="O21" s="34">
        <v>214.53417000000002</v>
      </c>
      <c r="Q21" s="34">
        <v>4721.97</v>
      </c>
      <c r="R21" s="34">
        <v>3508.19</v>
      </c>
      <c r="S21" s="34">
        <v>3562.09</v>
      </c>
    </row>
    <row r="22" spans="1:19" x14ac:dyDescent="0.35">
      <c r="A22" s="112">
        <v>2</v>
      </c>
      <c r="B22" s="6" t="s">
        <v>9</v>
      </c>
      <c r="C22" s="6">
        <v>29</v>
      </c>
      <c r="D22" s="6">
        <v>0</v>
      </c>
      <c r="E22" s="6">
        <v>251</v>
      </c>
      <c r="F22" s="38">
        <f t="shared" si="1"/>
        <v>280</v>
      </c>
      <c r="H22" s="7">
        <v>99.33</v>
      </c>
      <c r="I22" s="7">
        <v>0</v>
      </c>
      <c r="J22" s="7">
        <v>89.65</v>
      </c>
      <c r="K22" s="7">
        <v>90.61</v>
      </c>
      <c r="M22" s="34">
        <v>414.27487000000002</v>
      </c>
      <c r="N22" s="34">
        <v>379.90871999999996</v>
      </c>
      <c r="O22" s="34">
        <v>383.34532999999999</v>
      </c>
      <c r="Q22" s="34">
        <v>4232.43</v>
      </c>
      <c r="R22" s="34">
        <v>4360.7299999999996</v>
      </c>
      <c r="S22" s="34">
        <v>4347.8999999999996</v>
      </c>
    </row>
    <row r="23" spans="1:19" x14ac:dyDescent="0.35">
      <c r="A23" s="112">
        <v>3</v>
      </c>
      <c r="B23" s="6" t="s">
        <v>10</v>
      </c>
      <c r="C23" s="6">
        <v>23</v>
      </c>
      <c r="D23" s="6">
        <v>0</v>
      </c>
      <c r="E23" s="6">
        <v>170</v>
      </c>
      <c r="F23" s="38">
        <f t="shared" si="1"/>
        <v>193</v>
      </c>
      <c r="H23" s="7">
        <v>33</v>
      </c>
      <c r="I23" s="7">
        <v>0</v>
      </c>
      <c r="J23" s="7">
        <v>44.86</v>
      </c>
      <c r="K23" s="7">
        <v>43.64</v>
      </c>
      <c r="M23" s="34">
        <v>191.23611</v>
      </c>
      <c r="N23" s="34">
        <v>233.73445000000001</v>
      </c>
      <c r="O23" s="34">
        <v>229.31265999999999</v>
      </c>
      <c r="Q23" s="34">
        <v>5781.51</v>
      </c>
      <c r="R23" s="34">
        <v>5365.7</v>
      </c>
      <c r="S23" s="34">
        <v>5408.96</v>
      </c>
    </row>
    <row r="24" spans="1:19" x14ac:dyDescent="0.35">
      <c r="A24" s="112">
        <v>4</v>
      </c>
      <c r="B24" s="6" t="s">
        <v>11</v>
      </c>
      <c r="C24" s="6">
        <v>12</v>
      </c>
      <c r="D24" s="6">
        <v>0</v>
      </c>
      <c r="E24" s="6">
        <v>301</v>
      </c>
      <c r="F24" s="38">
        <f t="shared" si="1"/>
        <v>313</v>
      </c>
      <c r="H24" s="7">
        <v>70.55</v>
      </c>
      <c r="I24" s="7">
        <v>0</v>
      </c>
      <c r="J24" s="7">
        <v>69.25</v>
      </c>
      <c r="K24" s="7">
        <v>69.3</v>
      </c>
      <c r="M24" s="34">
        <v>325.50783000000001</v>
      </c>
      <c r="N24" s="34">
        <v>316.40714000000003</v>
      </c>
      <c r="O24" s="34">
        <v>316.75839000000002</v>
      </c>
      <c r="Q24" s="34">
        <v>4741.83</v>
      </c>
      <c r="R24" s="34">
        <v>4638.4799999999996</v>
      </c>
      <c r="S24" s="34">
        <v>4642.47</v>
      </c>
    </row>
    <row r="25" spans="1:19" x14ac:dyDescent="0.35">
      <c r="A25" s="112">
        <v>5</v>
      </c>
      <c r="B25" s="6" t="s">
        <v>12</v>
      </c>
      <c r="C25" s="6">
        <v>7</v>
      </c>
      <c r="D25" s="6">
        <v>0</v>
      </c>
      <c r="E25" s="6">
        <v>247</v>
      </c>
      <c r="F25" s="38">
        <f t="shared" si="1"/>
        <v>254</v>
      </c>
      <c r="H25" s="7">
        <v>55.86</v>
      </c>
      <c r="I25" s="7">
        <v>0</v>
      </c>
      <c r="J25" s="7">
        <v>82.25</v>
      </c>
      <c r="K25" s="7">
        <v>81.47</v>
      </c>
      <c r="M25" s="34">
        <v>305.3451</v>
      </c>
      <c r="N25" s="34">
        <v>395.94754999999998</v>
      </c>
      <c r="O25" s="34">
        <v>393.14128000000005</v>
      </c>
      <c r="Q25" s="34">
        <v>5459.62</v>
      </c>
      <c r="R25" s="34">
        <v>4933.3</v>
      </c>
      <c r="S25" s="34">
        <v>4949.6000000000004</v>
      </c>
    </row>
    <row r="26" spans="1:19" x14ac:dyDescent="0.35">
      <c r="A26" s="112">
        <v>6</v>
      </c>
      <c r="B26" s="6" t="s">
        <v>13</v>
      </c>
      <c r="C26" s="6">
        <v>42</v>
      </c>
      <c r="D26" s="6">
        <v>0</v>
      </c>
      <c r="E26" s="6">
        <v>428</v>
      </c>
      <c r="F26" s="38">
        <f t="shared" si="1"/>
        <v>470</v>
      </c>
      <c r="H26" s="7">
        <v>105.98</v>
      </c>
      <c r="I26" s="7">
        <v>0</v>
      </c>
      <c r="J26" s="7">
        <v>72.62</v>
      </c>
      <c r="K26" s="7">
        <v>75.900000000000006</v>
      </c>
      <c r="M26" s="34">
        <v>666.86405000000002</v>
      </c>
      <c r="N26" s="34">
        <v>348.07090999999997</v>
      </c>
      <c r="O26" s="34">
        <v>380.03012000000001</v>
      </c>
      <c r="Q26" s="34">
        <v>6377.32</v>
      </c>
      <c r="R26" s="34">
        <v>4904.38</v>
      </c>
      <c r="S26" s="34">
        <v>5052.04</v>
      </c>
    </row>
    <row r="27" spans="1:19" x14ac:dyDescent="0.35">
      <c r="A27" s="112">
        <v>7</v>
      </c>
      <c r="B27" s="6" t="s">
        <v>14</v>
      </c>
      <c r="C27" s="6">
        <v>96</v>
      </c>
      <c r="D27" s="6">
        <v>0</v>
      </c>
      <c r="E27" s="6">
        <v>563</v>
      </c>
      <c r="F27" s="38">
        <f t="shared" si="1"/>
        <v>659</v>
      </c>
      <c r="H27" s="7">
        <v>122.25</v>
      </c>
      <c r="I27" s="7">
        <v>0</v>
      </c>
      <c r="J27" s="7">
        <v>118.71</v>
      </c>
      <c r="K27" s="7">
        <v>119.16</v>
      </c>
      <c r="M27" s="34">
        <v>1000.87117</v>
      </c>
      <c r="N27" s="34">
        <v>774.48181000000011</v>
      </c>
      <c r="O27" s="34">
        <v>803.74578000000008</v>
      </c>
      <c r="Q27" s="34">
        <v>7962.06</v>
      </c>
      <c r="R27" s="34">
        <v>6515</v>
      </c>
      <c r="S27" s="34">
        <v>6702.05</v>
      </c>
    </row>
    <row r="28" spans="1:19" x14ac:dyDescent="0.35">
      <c r="A28" s="112">
        <v>8</v>
      </c>
      <c r="B28" s="6" t="s">
        <v>15</v>
      </c>
      <c r="C28" s="6">
        <v>30</v>
      </c>
      <c r="D28" s="6">
        <v>1</v>
      </c>
      <c r="E28" s="6">
        <v>446</v>
      </c>
      <c r="F28" s="38">
        <f t="shared" si="1"/>
        <v>477</v>
      </c>
      <c r="H28" s="7">
        <v>95.06</v>
      </c>
      <c r="I28" s="7">
        <v>0</v>
      </c>
      <c r="J28" s="7">
        <v>99.55</v>
      </c>
      <c r="K28" s="7">
        <v>99.36</v>
      </c>
      <c r="M28" s="34">
        <v>604.17653000000007</v>
      </c>
      <c r="N28" s="34">
        <v>597.66493999999989</v>
      </c>
      <c r="O28" s="34">
        <v>597.93893999999989</v>
      </c>
      <c r="Q28" s="34">
        <v>6067.2</v>
      </c>
      <c r="R28" s="34">
        <v>6035.7</v>
      </c>
      <c r="S28" s="34">
        <v>6037.03</v>
      </c>
    </row>
    <row r="29" spans="1:19" x14ac:dyDescent="0.35">
      <c r="A29" s="112">
        <v>9</v>
      </c>
      <c r="B29" s="6" t="s">
        <v>16</v>
      </c>
      <c r="C29" s="6">
        <v>187</v>
      </c>
      <c r="D29" s="6">
        <v>17</v>
      </c>
      <c r="E29" s="6">
        <v>354</v>
      </c>
      <c r="F29" s="38">
        <f t="shared" si="1"/>
        <v>558</v>
      </c>
      <c r="H29" s="7">
        <v>79.78</v>
      </c>
      <c r="I29" s="7">
        <v>91</v>
      </c>
      <c r="J29" s="7">
        <v>82.28</v>
      </c>
      <c r="K29" s="7">
        <v>81.680000000000007</v>
      </c>
      <c r="M29" s="34">
        <v>416.56157000000002</v>
      </c>
      <c r="N29" s="34">
        <v>413.35561000000001</v>
      </c>
      <c r="O29" s="34">
        <v>414.57315</v>
      </c>
      <c r="Q29" s="34">
        <v>5264.31</v>
      </c>
      <c r="R29" s="34">
        <v>5147.1499999999996</v>
      </c>
      <c r="S29" s="34">
        <v>5191.6400000000003</v>
      </c>
    </row>
    <row r="30" spans="1:19" x14ac:dyDescent="0.35">
      <c r="A30" s="112">
        <v>10</v>
      </c>
      <c r="B30" s="6" t="s">
        <v>17</v>
      </c>
      <c r="C30" s="6">
        <v>32</v>
      </c>
      <c r="D30" s="6">
        <v>5</v>
      </c>
      <c r="E30" s="6">
        <v>314</v>
      </c>
      <c r="F30" s="38">
        <f t="shared" si="1"/>
        <v>351</v>
      </c>
      <c r="H30" s="7">
        <v>102.35</v>
      </c>
      <c r="I30" s="7">
        <v>92</v>
      </c>
      <c r="J30" s="7">
        <v>81.66</v>
      </c>
      <c r="K30" s="7">
        <v>83.41</v>
      </c>
      <c r="M30" s="34">
        <v>487.25545</v>
      </c>
      <c r="N30" s="34">
        <v>396.72597999999999</v>
      </c>
      <c r="O30" s="34">
        <v>404.13587000000001</v>
      </c>
      <c r="Q30" s="34">
        <v>4931.99</v>
      </c>
      <c r="R30" s="34">
        <v>4894.3900000000003</v>
      </c>
      <c r="S30" s="34">
        <v>4897.47</v>
      </c>
    </row>
    <row r="31" spans="1:19" x14ac:dyDescent="0.35">
      <c r="A31" s="112">
        <v>11</v>
      </c>
      <c r="B31" s="6" t="s">
        <v>96</v>
      </c>
      <c r="C31" s="6">
        <v>5</v>
      </c>
      <c r="D31" s="6">
        <v>0</v>
      </c>
      <c r="E31" s="6">
        <v>412</v>
      </c>
      <c r="F31" s="38">
        <f t="shared" si="1"/>
        <v>417</v>
      </c>
      <c r="H31" s="7">
        <v>73</v>
      </c>
      <c r="I31" s="7">
        <v>0</v>
      </c>
      <c r="J31" s="7">
        <v>59.37</v>
      </c>
      <c r="K31" s="7">
        <v>59.52</v>
      </c>
      <c r="M31" s="34">
        <v>389.75</v>
      </c>
      <c r="N31" s="34">
        <v>246.70183</v>
      </c>
      <c r="O31" s="34">
        <v>248.33667000000003</v>
      </c>
      <c r="Q31" s="34">
        <v>5265.9</v>
      </c>
      <c r="R31" s="34">
        <v>4247.8999999999996</v>
      </c>
      <c r="S31" s="34">
        <v>4259.53</v>
      </c>
    </row>
    <row r="32" spans="1:19" x14ac:dyDescent="0.35">
      <c r="A32" s="112">
        <v>12</v>
      </c>
      <c r="B32" s="6" t="s">
        <v>97</v>
      </c>
      <c r="C32" s="6">
        <v>146</v>
      </c>
      <c r="D32" s="6">
        <v>64</v>
      </c>
      <c r="E32" s="6">
        <v>22</v>
      </c>
      <c r="F32" s="38">
        <f t="shared" si="1"/>
        <v>232</v>
      </c>
      <c r="H32" s="7">
        <v>63.64</v>
      </c>
      <c r="I32" s="7">
        <v>58.62</v>
      </c>
      <c r="J32" s="7">
        <v>80.14</v>
      </c>
      <c r="K32" s="7">
        <v>63.77</v>
      </c>
      <c r="M32" s="34">
        <v>431.78891999999996</v>
      </c>
      <c r="N32" s="34">
        <v>359.64686999999998</v>
      </c>
      <c r="O32" s="34">
        <v>424.26490000000001</v>
      </c>
      <c r="Q32" s="34">
        <v>6633.31</v>
      </c>
      <c r="R32" s="34">
        <v>4587.3999999999996</v>
      </c>
      <c r="S32" s="34">
        <v>6419.93</v>
      </c>
    </row>
    <row r="33" spans="1:19" x14ac:dyDescent="0.35">
      <c r="A33" s="112">
        <v>13</v>
      </c>
      <c r="B33" s="6" t="s">
        <v>18</v>
      </c>
      <c r="C33" s="6">
        <v>10</v>
      </c>
      <c r="D33" s="6">
        <v>0</v>
      </c>
      <c r="E33" s="6">
        <v>269</v>
      </c>
      <c r="F33" s="38">
        <f t="shared" si="1"/>
        <v>279</v>
      </c>
      <c r="H33" s="7">
        <v>56.2</v>
      </c>
      <c r="I33" s="7">
        <v>0</v>
      </c>
      <c r="J33" s="7">
        <v>72.77</v>
      </c>
      <c r="K33" s="7">
        <v>72.13</v>
      </c>
      <c r="M33" s="34">
        <v>198.15010000000001</v>
      </c>
      <c r="N33" s="34">
        <v>294.65116999999998</v>
      </c>
      <c r="O33" s="34">
        <v>290.05588</v>
      </c>
      <c r="Q33" s="34">
        <v>3666.01</v>
      </c>
      <c r="R33" s="34">
        <v>4158.84</v>
      </c>
      <c r="S33" s="34">
        <v>4135.37</v>
      </c>
    </row>
    <row r="34" spans="1:19" x14ac:dyDescent="0.35">
      <c r="A34" s="112">
        <v>14</v>
      </c>
      <c r="B34" s="6" t="s">
        <v>19</v>
      </c>
      <c r="C34" s="6">
        <v>5</v>
      </c>
      <c r="D34" s="6">
        <v>0</v>
      </c>
      <c r="E34" s="6">
        <v>67</v>
      </c>
      <c r="F34" s="38">
        <f t="shared" si="1"/>
        <v>72</v>
      </c>
      <c r="H34" s="7">
        <v>72.75</v>
      </c>
      <c r="I34" s="7">
        <v>0</v>
      </c>
      <c r="J34" s="7">
        <v>70.05</v>
      </c>
      <c r="K34" s="7">
        <v>70.22</v>
      </c>
      <c r="M34" s="34">
        <v>270.53250000000003</v>
      </c>
      <c r="N34" s="34">
        <v>267.63847999999996</v>
      </c>
      <c r="O34" s="34">
        <v>267.81935999999996</v>
      </c>
      <c r="Q34" s="34">
        <v>3851.5</v>
      </c>
      <c r="R34" s="34">
        <v>3995.67</v>
      </c>
      <c r="S34" s="34">
        <v>3986.66</v>
      </c>
    </row>
    <row r="35" spans="1:19" x14ac:dyDescent="0.35">
      <c r="A35" s="112">
        <v>15</v>
      </c>
      <c r="B35" s="6" t="s">
        <v>20</v>
      </c>
      <c r="C35" s="6">
        <v>28</v>
      </c>
      <c r="D35" s="6">
        <v>0</v>
      </c>
      <c r="E35" s="6">
        <v>100</v>
      </c>
      <c r="F35" s="38">
        <f t="shared" si="1"/>
        <v>128</v>
      </c>
      <c r="H35" s="7">
        <v>67.8</v>
      </c>
      <c r="I35" s="7">
        <v>0</v>
      </c>
      <c r="J35" s="7">
        <v>67.84</v>
      </c>
      <c r="K35" s="7">
        <v>67.83</v>
      </c>
      <c r="M35" s="34">
        <v>254.48</v>
      </c>
      <c r="N35" s="34">
        <v>275.25265000000002</v>
      </c>
      <c r="O35" s="34">
        <v>270.65692999999999</v>
      </c>
      <c r="Q35" s="34">
        <v>3925.49</v>
      </c>
      <c r="R35" s="34">
        <v>4198.82</v>
      </c>
      <c r="S35" s="34">
        <v>4138.3500000000004</v>
      </c>
    </row>
    <row r="36" spans="1:19" x14ac:dyDescent="0.35">
      <c r="A36" s="112">
        <v>16</v>
      </c>
      <c r="B36" s="6" t="s">
        <v>21</v>
      </c>
      <c r="C36" s="6">
        <v>4</v>
      </c>
      <c r="D36" s="6">
        <v>1</v>
      </c>
      <c r="E36" s="6">
        <v>167</v>
      </c>
      <c r="F36" s="38">
        <f t="shared" si="1"/>
        <v>172</v>
      </c>
      <c r="H36" s="7">
        <v>96.67</v>
      </c>
      <c r="I36" s="7">
        <v>53</v>
      </c>
      <c r="J36" s="7">
        <v>70.349999999999994</v>
      </c>
      <c r="K36" s="7">
        <v>70.77</v>
      </c>
      <c r="M36" s="34">
        <v>243.33332999999999</v>
      </c>
      <c r="N36" s="34">
        <v>262.10707000000002</v>
      </c>
      <c r="O36" s="34">
        <v>261.67383000000001</v>
      </c>
      <c r="Q36" s="34">
        <v>2585.67</v>
      </c>
      <c r="R36" s="34">
        <v>3858.99</v>
      </c>
      <c r="S36" s="34">
        <v>3829.61</v>
      </c>
    </row>
    <row r="37" spans="1:19" x14ac:dyDescent="0.35">
      <c r="A37" s="112">
        <v>17</v>
      </c>
      <c r="B37" s="6" t="s">
        <v>22</v>
      </c>
      <c r="C37" s="6">
        <v>9</v>
      </c>
      <c r="D37" s="6">
        <v>0</v>
      </c>
      <c r="E37" s="6">
        <v>252</v>
      </c>
      <c r="F37" s="38">
        <f t="shared" si="1"/>
        <v>261</v>
      </c>
      <c r="H37" s="7">
        <v>74.75</v>
      </c>
      <c r="I37" s="7">
        <v>0</v>
      </c>
      <c r="J37" s="7">
        <v>65.290000000000006</v>
      </c>
      <c r="K37" s="7">
        <v>65.459999999999994</v>
      </c>
      <c r="M37" s="34">
        <v>307.875</v>
      </c>
      <c r="N37" s="34">
        <v>263.62479999999999</v>
      </c>
      <c r="O37" s="34">
        <v>264.50979999999998</v>
      </c>
      <c r="Q37" s="34">
        <v>4042.57</v>
      </c>
      <c r="R37" s="34">
        <v>4109.04</v>
      </c>
      <c r="S37" s="34">
        <v>4107.71</v>
      </c>
    </row>
    <row r="38" spans="1:19" x14ac:dyDescent="0.35">
      <c r="A38" s="112">
        <v>18</v>
      </c>
      <c r="B38" s="6" t="s">
        <v>23</v>
      </c>
      <c r="C38" s="6">
        <v>60</v>
      </c>
      <c r="D38" s="6">
        <v>0</v>
      </c>
      <c r="E38" s="6">
        <v>435</v>
      </c>
      <c r="F38" s="38">
        <f t="shared" si="1"/>
        <v>495</v>
      </c>
      <c r="H38" s="7">
        <v>69.89</v>
      </c>
      <c r="I38" s="7">
        <v>0</v>
      </c>
      <c r="J38" s="7">
        <v>67.5</v>
      </c>
      <c r="K38" s="7">
        <v>67.67</v>
      </c>
      <c r="M38" s="34">
        <v>264.55556000000001</v>
      </c>
      <c r="N38" s="34">
        <v>290.15798000000001</v>
      </c>
      <c r="O38" s="34">
        <v>288.1601</v>
      </c>
      <c r="Q38" s="34">
        <v>3703.18</v>
      </c>
      <c r="R38" s="34">
        <v>4356.6499999999996</v>
      </c>
      <c r="S38" s="34">
        <v>4305.66</v>
      </c>
    </row>
    <row r="39" spans="1:19" x14ac:dyDescent="0.35">
      <c r="A39" s="112">
        <v>19</v>
      </c>
      <c r="B39" s="6" t="s">
        <v>24</v>
      </c>
      <c r="C39" s="6">
        <v>19</v>
      </c>
      <c r="D39" s="6">
        <v>0</v>
      </c>
      <c r="E39" s="6">
        <v>348</v>
      </c>
      <c r="F39" s="38">
        <f t="shared" si="1"/>
        <v>367</v>
      </c>
      <c r="H39" s="7">
        <v>81.94</v>
      </c>
      <c r="I39" s="7">
        <v>0</v>
      </c>
      <c r="J39" s="7">
        <v>86.94</v>
      </c>
      <c r="K39" s="7">
        <v>86.66</v>
      </c>
      <c r="M39" s="34">
        <v>519.66666999999995</v>
      </c>
      <c r="N39" s="34">
        <v>491.75252</v>
      </c>
      <c r="O39" s="34">
        <v>493.41078999999996</v>
      </c>
      <c r="Q39" s="34">
        <v>6373.71</v>
      </c>
      <c r="R39" s="34">
        <v>5544.14</v>
      </c>
      <c r="S39" s="34">
        <v>5593.42</v>
      </c>
    </row>
    <row r="40" spans="1:19" x14ac:dyDescent="0.35">
      <c r="A40" s="112">
        <v>20</v>
      </c>
      <c r="B40" s="6" t="s">
        <v>25</v>
      </c>
      <c r="C40" s="6">
        <v>3</v>
      </c>
      <c r="D40" s="6">
        <v>0</v>
      </c>
      <c r="E40" s="6">
        <v>184</v>
      </c>
      <c r="F40" s="38">
        <f t="shared" si="1"/>
        <v>187</v>
      </c>
      <c r="H40" s="7">
        <v>0</v>
      </c>
      <c r="I40" s="7">
        <v>0</v>
      </c>
      <c r="J40" s="7">
        <v>83.8</v>
      </c>
      <c r="K40" s="7">
        <v>83.8</v>
      </c>
      <c r="M40" s="34">
        <v>0</v>
      </c>
      <c r="N40" s="34">
        <v>408.39191</v>
      </c>
      <c r="O40" s="34">
        <v>408.39191</v>
      </c>
      <c r="Q40" s="34">
        <v>0</v>
      </c>
      <c r="R40" s="34">
        <v>4921.9799999999996</v>
      </c>
      <c r="S40" s="34">
        <v>4921.9799999999996</v>
      </c>
    </row>
    <row r="41" spans="1:19" x14ac:dyDescent="0.35">
      <c r="A41" s="112">
        <v>21</v>
      </c>
      <c r="B41" s="6" t="s">
        <v>26</v>
      </c>
      <c r="C41" s="6">
        <v>1</v>
      </c>
      <c r="D41" s="6">
        <v>0</v>
      </c>
      <c r="E41" s="6">
        <v>115</v>
      </c>
      <c r="F41" s="38">
        <f t="shared" si="1"/>
        <v>116</v>
      </c>
      <c r="H41" s="7">
        <v>182</v>
      </c>
      <c r="I41" s="7">
        <v>0</v>
      </c>
      <c r="J41" s="7">
        <v>158.43</v>
      </c>
      <c r="K41" s="7">
        <v>158.66999999999999</v>
      </c>
      <c r="M41" s="59" t="s">
        <v>100</v>
      </c>
      <c r="N41" s="34">
        <v>1088.97343</v>
      </c>
      <c r="O41" s="34">
        <v>1090.0836200000001</v>
      </c>
      <c r="Q41" s="59" t="s">
        <v>100</v>
      </c>
      <c r="R41" s="34">
        <v>6652.55</v>
      </c>
      <c r="S41" s="34">
        <v>6651.3</v>
      </c>
    </row>
    <row r="42" spans="1:19" x14ac:dyDescent="0.35">
      <c r="A42" s="112">
        <v>22</v>
      </c>
      <c r="B42" s="6" t="s">
        <v>27</v>
      </c>
      <c r="C42" s="6">
        <v>1</v>
      </c>
      <c r="D42" s="6">
        <v>0</v>
      </c>
      <c r="E42" s="6">
        <v>31</v>
      </c>
      <c r="F42" s="38">
        <f t="shared" si="1"/>
        <v>32</v>
      </c>
      <c r="H42" s="7">
        <v>136</v>
      </c>
      <c r="I42" s="7">
        <v>0</v>
      </c>
      <c r="J42" s="7">
        <v>149.33000000000001</v>
      </c>
      <c r="K42" s="7">
        <v>148.72</v>
      </c>
      <c r="M42" s="59" t="s">
        <v>100</v>
      </c>
      <c r="N42" s="34">
        <v>534.47368000000006</v>
      </c>
      <c r="O42" s="34">
        <v>532.75</v>
      </c>
      <c r="Q42" s="59" t="s">
        <v>100</v>
      </c>
      <c r="R42" s="34">
        <v>3891.57</v>
      </c>
      <c r="S42" s="34">
        <v>3880.81</v>
      </c>
    </row>
    <row r="43" spans="1:19" x14ac:dyDescent="0.35">
      <c r="A43" s="112">
        <v>23</v>
      </c>
      <c r="B43" s="6" t="s">
        <v>28</v>
      </c>
      <c r="C43" s="6">
        <v>9</v>
      </c>
      <c r="D43" s="6">
        <v>0</v>
      </c>
      <c r="E43" s="6">
        <v>173</v>
      </c>
      <c r="F43" s="38">
        <f t="shared" si="1"/>
        <v>182</v>
      </c>
      <c r="H43" s="7">
        <v>140.88999999999999</v>
      </c>
      <c r="I43" s="7">
        <v>0</v>
      </c>
      <c r="J43" s="7">
        <v>113.7</v>
      </c>
      <c r="K43" s="7">
        <v>115.25</v>
      </c>
      <c r="M43" s="34">
        <v>1445.5322200000001</v>
      </c>
      <c r="N43" s="34">
        <v>807.77360999999996</v>
      </c>
      <c r="O43" s="34">
        <v>848.77238</v>
      </c>
      <c r="Q43" s="34">
        <v>10029.52</v>
      </c>
      <c r="R43" s="34">
        <v>6974.69</v>
      </c>
      <c r="S43" s="34">
        <v>7171.07</v>
      </c>
    </row>
    <row r="44" spans="1:19" x14ac:dyDescent="0.35">
      <c r="A44" s="112">
        <v>24</v>
      </c>
      <c r="B44" s="6" t="s">
        <v>29</v>
      </c>
      <c r="C44" s="6">
        <v>2</v>
      </c>
      <c r="D44" s="6">
        <v>0</v>
      </c>
      <c r="E44" s="6">
        <v>132</v>
      </c>
      <c r="F44" s="38">
        <f t="shared" si="1"/>
        <v>134</v>
      </c>
      <c r="H44" s="7">
        <v>92.5</v>
      </c>
      <c r="I44" s="7">
        <v>0</v>
      </c>
      <c r="J44" s="7">
        <v>152</v>
      </c>
      <c r="K44" s="7">
        <v>151.02000000000001</v>
      </c>
      <c r="M44" s="59" t="s">
        <v>100</v>
      </c>
      <c r="N44" s="34">
        <v>1037.3146400000001</v>
      </c>
      <c r="O44" s="34">
        <v>1027.6784</v>
      </c>
      <c r="Q44" s="59" t="s">
        <v>100</v>
      </c>
      <c r="R44" s="34">
        <v>6917.02</v>
      </c>
      <c r="S44" s="34">
        <v>6865.59</v>
      </c>
    </row>
    <row r="45" spans="1:19" x14ac:dyDescent="0.35">
      <c r="A45" s="112">
        <v>25</v>
      </c>
      <c r="B45" s="6" t="s">
        <v>30</v>
      </c>
      <c r="C45" s="6">
        <v>12</v>
      </c>
      <c r="D45" s="6">
        <v>0</v>
      </c>
      <c r="E45" s="6">
        <v>201</v>
      </c>
      <c r="F45" s="38">
        <f t="shared" si="1"/>
        <v>213</v>
      </c>
      <c r="H45" s="7">
        <v>108.56</v>
      </c>
      <c r="I45" s="7">
        <v>0</v>
      </c>
      <c r="J45" s="7">
        <v>126.93</v>
      </c>
      <c r="K45" s="7">
        <v>126.07</v>
      </c>
      <c r="M45" s="34">
        <v>494.01456000000002</v>
      </c>
      <c r="N45" s="34">
        <v>828.97089000000005</v>
      </c>
      <c r="O45" s="34">
        <v>813.18760999999995</v>
      </c>
      <c r="Q45" s="34">
        <v>4572.18</v>
      </c>
      <c r="R45" s="34">
        <v>6471.9</v>
      </c>
      <c r="S45" s="34">
        <v>6382.38</v>
      </c>
    </row>
    <row r="46" spans="1:19" x14ac:dyDescent="0.35">
      <c r="A46" s="112">
        <v>26</v>
      </c>
      <c r="B46" s="6" t="s">
        <v>31</v>
      </c>
      <c r="C46" s="6">
        <v>19</v>
      </c>
      <c r="D46" s="6">
        <v>0</v>
      </c>
      <c r="E46" s="6">
        <v>440</v>
      </c>
      <c r="F46" s="38">
        <f t="shared" si="1"/>
        <v>459</v>
      </c>
      <c r="H46" s="7">
        <v>153.25</v>
      </c>
      <c r="I46" s="7">
        <v>0</v>
      </c>
      <c r="J46" s="7">
        <v>136.06</v>
      </c>
      <c r="K46" s="7">
        <v>136.55000000000001</v>
      </c>
      <c r="M46" s="34">
        <v>854.65499999999997</v>
      </c>
      <c r="N46" s="34">
        <v>875.11306000000002</v>
      </c>
      <c r="O46" s="34">
        <v>874.52149999999995</v>
      </c>
      <c r="Q46" s="34">
        <v>5631.1</v>
      </c>
      <c r="R46" s="34">
        <v>6422.82</v>
      </c>
      <c r="S46" s="34">
        <v>6399.93</v>
      </c>
    </row>
    <row r="47" spans="1:19" x14ac:dyDescent="0.35">
      <c r="A47" s="112">
        <v>27</v>
      </c>
      <c r="B47" s="6" t="s">
        <v>32</v>
      </c>
      <c r="C47" s="6">
        <v>4</v>
      </c>
      <c r="D47" s="6">
        <v>0</v>
      </c>
      <c r="E47" s="6">
        <v>265</v>
      </c>
      <c r="F47" s="38">
        <f t="shared" si="1"/>
        <v>269</v>
      </c>
      <c r="H47" s="7">
        <v>54.67</v>
      </c>
      <c r="I47" s="7">
        <v>0</v>
      </c>
      <c r="J47" s="7">
        <v>101.13</v>
      </c>
      <c r="K47" s="7">
        <v>100.58</v>
      </c>
      <c r="M47" s="34">
        <v>484.52359000000001</v>
      </c>
      <c r="N47" s="34">
        <v>546.16878000000008</v>
      </c>
      <c r="O47" s="34">
        <v>545.43197999999995</v>
      </c>
      <c r="Q47" s="34">
        <v>8060.89</v>
      </c>
      <c r="R47" s="34">
        <v>5579.54</v>
      </c>
      <c r="S47" s="34">
        <v>5609.2</v>
      </c>
    </row>
    <row r="48" spans="1:19" x14ac:dyDescent="0.35">
      <c r="A48" s="112">
        <v>28</v>
      </c>
      <c r="B48" s="6" t="s">
        <v>33</v>
      </c>
      <c r="C48" s="6">
        <v>43</v>
      </c>
      <c r="D48" s="6">
        <v>2</v>
      </c>
      <c r="E48" s="6">
        <v>89</v>
      </c>
      <c r="F48" s="38">
        <f t="shared" si="1"/>
        <v>134</v>
      </c>
      <c r="H48" s="7">
        <v>101.79</v>
      </c>
      <c r="I48" s="7">
        <v>80</v>
      </c>
      <c r="J48" s="7">
        <v>87.77</v>
      </c>
      <c r="K48" s="7">
        <v>91.78</v>
      </c>
      <c r="M48" s="34">
        <v>427.26509000000004</v>
      </c>
      <c r="N48" s="34">
        <v>402.33335999999997</v>
      </c>
      <c r="O48" s="34">
        <v>409.76913999999999</v>
      </c>
      <c r="Q48" s="34">
        <v>4334.07</v>
      </c>
      <c r="R48" s="34">
        <v>4748.32</v>
      </c>
      <c r="S48" s="34">
        <v>4624.7700000000004</v>
      </c>
    </row>
    <row r="49" spans="1:19" x14ac:dyDescent="0.35">
      <c r="A49" s="112">
        <v>29</v>
      </c>
      <c r="B49" s="6" t="s">
        <v>34</v>
      </c>
      <c r="C49" s="6">
        <v>17</v>
      </c>
      <c r="D49" s="6">
        <v>1</v>
      </c>
      <c r="E49" s="6">
        <v>48</v>
      </c>
      <c r="F49" s="38">
        <f t="shared" si="1"/>
        <v>66</v>
      </c>
      <c r="H49" s="7">
        <v>62.59</v>
      </c>
      <c r="I49" s="7">
        <v>58</v>
      </c>
      <c r="J49" s="7">
        <v>72.86</v>
      </c>
      <c r="K49" s="7">
        <v>69.75</v>
      </c>
      <c r="M49" s="34">
        <v>220.94123999999999</v>
      </c>
      <c r="N49" s="34">
        <v>274.08183000000002</v>
      </c>
      <c r="O49" s="34">
        <v>258.50614000000002</v>
      </c>
      <c r="Q49" s="34">
        <v>3566.25</v>
      </c>
      <c r="R49" s="34">
        <v>3608.13</v>
      </c>
      <c r="S49" s="34">
        <v>3595.85</v>
      </c>
    </row>
    <row r="50" spans="1:19" x14ac:dyDescent="0.35">
      <c r="A50" s="112">
        <v>30</v>
      </c>
      <c r="B50" s="6" t="s">
        <v>35</v>
      </c>
      <c r="C50" s="6">
        <v>2</v>
      </c>
      <c r="D50" s="6">
        <v>0</v>
      </c>
      <c r="E50" s="6">
        <v>118</v>
      </c>
      <c r="F50" s="38">
        <f t="shared" si="1"/>
        <v>120</v>
      </c>
      <c r="H50" s="7">
        <v>58.5</v>
      </c>
      <c r="I50" s="7">
        <v>0</v>
      </c>
      <c r="J50" s="7">
        <v>85.9</v>
      </c>
      <c r="K50" s="7">
        <v>85.42</v>
      </c>
      <c r="M50" s="59" t="s">
        <v>100</v>
      </c>
      <c r="N50" s="34">
        <v>382.72836000000001</v>
      </c>
      <c r="O50" s="34">
        <v>382.58526000000001</v>
      </c>
      <c r="Q50" s="59" t="s">
        <v>100</v>
      </c>
      <c r="R50" s="34">
        <v>4420.78</v>
      </c>
      <c r="S50" s="34">
        <v>4453.4799999999996</v>
      </c>
    </row>
    <row r="51" spans="1:19" x14ac:dyDescent="0.35">
      <c r="A51" s="112">
        <v>31</v>
      </c>
      <c r="B51" s="6" t="s">
        <v>36</v>
      </c>
      <c r="C51" s="6">
        <v>6</v>
      </c>
      <c r="D51" s="6">
        <v>0</v>
      </c>
      <c r="E51" s="6">
        <v>482</v>
      </c>
      <c r="F51" s="38">
        <f t="shared" si="1"/>
        <v>488</v>
      </c>
      <c r="H51" s="7">
        <v>91.75</v>
      </c>
      <c r="I51" s="7">
        <v>0</v>
      </c>
      <c r="J51" s="7">
        <v>80.03</v>
      </c>
      <c r="K51" s="7">
        <v>80.14</v>
      </c>
      <c r="M51" s="34">
        <v>1147.2090000000001</v>
      </c>
      <c r="N51" s="34">
        <v>421.04194999999999</v>
      </c>
      <c r="O51" s="34">
        <v>427.73472999999996</v>
      </c>
      <c r="Q51" s="34">
        <v>9249.27</v>
      </c>
      <c r="R51" s="34">
        <v>5343.58</v>
      </c>
      <c r="S51" s="34">
        <v>5379.58</v>
      </c>
    </row>
    <row r="52" spans="1:19" x14ac:dyDescent="0.35">
      <c r="A52" s="112">
        <v>32</v>
      </c>
      <c r="B52" s="6" t="s">
        <v>37</v>
      </c>
      <c r="C52" s="6">
        <v>2</v>
      </c>
      <c r="D52" s="6">
        <v>0</v>
      </c>
      <c r="E52" s="6">
        <v>304</v>
      </c>
      <c r="F52" s="38">
        <f t="shared" si="1"/>
        <v>306</v>
      </c>
      <c r="H52" s="7">
        <v>68</v>
      </c>
      <c r="I52" s="7">
        <v>0</v>
      </c>
      <c r="J52" s="7">
        <v>75.77</v>
      </c>
      <c r="K52" s="7">
        <v>75.709999999999994</v>
      </c>
      <c r="M52" s="34">
        <v>382.5</v>
      </c>
      <c r="N52" s="34">
        <v>381.62023999999997</v>
      </c>
      <c r="O52" s="34">
        <v>381.62669</v>
      </c>
      <c r="Q52" s="34">
        <v>5625</v>
      </c>
      <c r="R52" s="34">
        <v>5143.88</v>
      </c>
      <c r="S52" s="34">
        <v>5147.3999999999996</v>
      </c>
    </row>
    <row r="53" spans="1:19" x14ac:dyDescent="0.35">
      <c r="A53" s="112">
        <v>33</v>
      </c>
      <c r="B53" s="6" t="s">
        <v>38</v>
      </c>
      <c r="C53" s="6">
        <v>4</v>
      </c>
      <c r="D53" s="6">
        <v>0</v>
      </c>
      <c r="E53" s="6">
        <v>183</v>
      </c>
      <c r="F53" s="38">
        <f t="shared" si="1"/>
        <v>187</v>
      </c>
      <c r="H53" s="7">
        <v>56.75</v>
      </c>
      <c r="I53" s="7">
        <v>0</v>
      </c>
      <c r="J53" s="7">
        <v>69.430000000000007</v>
      </c>
      <c r="K53" s="7">
        <v>69.13</v>
      </c>
      <c r="M53" s="34">
        <v>241.5</v>
      </c>
      <c r="N53" s="34">
        <v>301.09302000000002</v>
      </c>
      <c r="O53" s="34">
        <v>299.69083000000001</v>
      </c>
      <c r="Q53" s="34">
        <v>4293.45</v>
      </c>
      <c r="R53" s="34">
        <v>4363.26</v>
      </c>
      <c r="S53" s="34">
        <v>4361.62</v>
      </c>
    </row>
    <row r="54" spans="1:19" x14ac:dyDescent="0.35">
      <c r="A54" s="112">
        <v>34</v>
      </c>
      <c r="B54" s="6" t="s">
        <v>39</v>
      </c>
      <c r="C54" s="6">
        <v>0</v>
      </c>
      <c r="D54" s="6">
        <v>0</v>
      </c>
      <c r="E54" s="6">
        <v>80</v>
      </c>
      <c r="F54" s="38">
        <f t="shared" si="1"/>
        <v>80</v>
      </c>
      <c r="H54" s="7">
        <v>0</v>
      </c>
      <c r="I54" s="7">
        <v>0</v>
      </c>
      <c r="J54" s="7">
        <v>64.39</v>
      </c>
      <c r="K54" s="7">
        <v>64.39</v>
      </c>
      <c r="M54" s="34">
        <v>0</v>
      </c>
      <c r="N54" s="34">
        <v>225.42303000000001</v>
      </c>
      <c r="O54" s="34">
        <v>225.42303000000001</v>
      </c>
      <c r="Q54" s="34">
        <v>0</v>
      </c>
      <c r="R54" s="34">
        <v>3412.4</v>
      </c>
      <c r="S54" s="34">
        <v>3412.4</v>
      </c>
    </row>
    <row r="55" spans="1:19" x14ac:dyDescent="0.35">
      <c r="A55" s="112">
        <v>35</v>
      </c>
      <c r="B55" s="6" t="s">
        <v>40</v>
      </c>
      <c r="C55" s="6">
        <v>68</v>
      </c>
      <c r="D55" s="6">
        <v>0</v>
      </c>
      <c r="E55" s="6">
        <v>291</v>
      </c>
      <c r="F55" s="38">
        <f t="shared" si="1"/>
        <v>359</v>
      </c>
      <c r="H55" s="7">
        <v>74.790000000000006</v>
      </c>
      <c r="I55" s="7">
        <v>0</v>
      </c>
      <c r="J55" s="7">
        <v>72.349999999999994</v>
      </c>
      <c r="K55" s="7">
        <v>72.83</v>
      </c>
      <c r="M55" s="34">
        <v>381.12132000000003</v>
      </c>
      <c r="N55" s="34">
        <v>282.71967000000001</v>
      </c>
      <c r="O55" s="34">
        <v>302.14929999999998</v>
      </c>
      <c r="Q55" s="34">
        <v>5110.22</v>
      </c>
      <c r="R55" s="34">
        <v>3998.76</v>
      </c>
      <c r="S55" s="34">
        <v>4218.22</v>
      </c>
    </row>
    <row r="56" spans="1:19" x14ac:dyDescent="0.35">
      <c r="A56" s="112">
        <v>36</v>
      </c>
      <c r="B56" s="6" t="s">
        <v>41</v>
      </c>
      <c r="C56" s="6">
        <v>33</v>
      </c>
      <c r="D56" s="6">
        <v>0</v>
      </c>
      <c r="E56" s="6">
        <v>71</v>
      </c>
      <c r="F56" s="38">
        <f t="shared" si="1"/>
        <v>104</v>
      </c>
      <c r="H56" s="7">
        <v>86.41</v>
      </c>
      <c r="I56" s="7">
        <v>0</v>
      </c>
      <c r="J56" s="7">
        <v>80</v>
      </c>
      <c r="K56" s="7">
        <v>82.14</v>
      </c>
      <c r="M56" s="34">
        <v>442.77921999999995</v>
      </c>
      <c r="N56" s="34">
        <v>325.75857000000002</v>
      </c>
      <c r="O56" s="34">
        <v>365.17604999999998</v>
      </c>
      <c r="Q56" s="34">
        <v>5515.7</v>
      </c>
      <c r="R56" s="34">
        <v>4205.84</v>
      </c>
      <c r="S56" s="34">
        <v>4647.0600000000004</v>
      </c>
    </row>
    <row r="57" spans="1:19" x14ac:dyDescent="0.35">
      <c r="A57" s="112">
        <v>37</v>
      </c>
      <c r="B57" s="6" t="s">
        <v>42</v>
      </c>
      <c r="C57" s="6">
        <v>99</v>
      </c>
      <c r="D57" s="6">
        <v>7</v>
      </c>
      <c r="E57" s="6">
        <v>275</v>
      </c>
      <c r="F57" s="38">
        <f t="shared" si="1"/>
        <v>381</v>
      </c>
      <c r="H57" s="7">
        <v>63.55</v>
      </c>
      <c r="I57" s="7">
        <v>70.17</v>
      </c>
      <c r="J57" s="7">
        <v>62.63</v>
      </c>
      <c r="K57" s="7">
        <v>63</v>
      </c>
      <c r="M57" s="34">
        <v>177.68509</v>
      </c>
      <c r="N57" s="34">
        <v>179.56062</v>
      </c>
      <c r="O57" s="34">
        <v>179.03901999999999</v>
      </c>
      <c r="Q57" s="34">
        <v>2859.5</v>
      </c>
      <c r="R57" s="34">
        <v>2921.93</v>
      </c>
      <c r="S57" s="34">
        <v>2904.57</v>
      </c>
    </row>
    <row r="58" spans="1:19" x14ac:dyDescent="0.35">
      <c r="A58" s="112">
        <v>38</v>
      </c>
      <c r="B58" s="6" t="s">
        <v>43</v>
      </c>
      <c r="C58" s="6">
        <v>63</v>
      </c>
      <c r="D58" s="6">
        <v>0</v>
      </c>
      <c r="E58" s="6">
        <v>104</v>
      </c>
      <c r="F58" s="38">
        <f t="shared" si="1"/>
        <v>167</v>
      </c>
      <c r="H58" s="7">
        <v>58.16</v>
      </c>
      <c r="I58" s="7">
        <v>0</v>
      </c>
      <c r="J58" s="7">
        <v>60.74</v>
      </c>
      <c r="K58" s="7">
        <v>59.77</v>
      </c>
      <c r="M58" s="34">
        <v>153.74137999999999</v>
      </c>
      <c r="N58" s="34">
        <v>198.00769</v>
      </c>
      <c r="O58" s="34">
        <v>181.227</v>
      </c>
      <c r="Q58" s="34">
        <v>2590.17</v>
      </c>
      <c r="R58" s="34">
        <v>3283.54</v>
      </c>
      <c r="S58" s="34">
        <v>3020.69</v>
      </c>
    </row>
    <row r="59" spans="1:19" x14ac:dyDescent="0.35">
      <c r="A59" s="112">
        <v>39</v>
      </c>
      <c r="B59" s="6" t="s">
        <v>44</v>
      </c>
      <c r="C59" s="6">
        <v>24</v>
      </c>
      <c r="D59" s="6">
        <v>0</v>
      </c>
      <c r="E59" s="6">
        <v>35</v>
      </c>
      <c r="F59" s="38">
        <f t="shared" si="1"/>
        <v>59</v>
      </c>
      <c r="H59" s="7">
        <v>68.23</v>
      </c>
      <c r="I59" s="7">
        <v>0</v>
      </c>
      <c r="J59" s="7">
        <v>73.91</v>
      </c>
      <c r="K59" s="7">
        <v>71.72</v>
      </c>
      <c r="M59" s="34">
        <v>207.10454999999999</v>
      </c>
      <c r="N59" s="34">
        <v>213.88238000000001</v>
      </c>
      <c r="O59" s="34">
        <v>211.21966</v>
      </c>
      <c r="Q59" s="34">
        <v>3015.22</v>
      </c>
      <c r="R59" s="34">
        <v>2800.56</v>
      </c>
      <c r="S59" s="34">
        <v>2884.89</v>
      </c>
    </row>
    <row r="60" spans="1:19" x14ac:dyDescent="0.35">
      <c r="A60" s="112">
        <v>40</v>
      </c>
      <c r="B60" s="6" t="s">
        <v>45</v>
      </c>
      <c r="C60" s="6">
        <v>14</v>
      </c>
      <c r="D60" s="6">
        <v>2</v>
      </c>
      <c r="E60" s="6">
        <v>32</v>
      </c>
      <c r="F60" s="38">
        <f t="shared" si="1"/>
        <v>48</v>
      </c>
      <c r="H60" s="7">
        <v>63.82</v>
      </c>
      <c r="I60" s="7">
        <v>59</v>
      </c>
      <c r="J60" s="7">
        <v>65.400000000000006</v>
      </c>
      <c r="K60" s="7">
        <v>64.83</v>
      </c>
      <c r="M60" s="34">
        <v>181.28182000000001</v>
      </c>
      <c r="N60" s="34">
        <v>207.60714000000002</v>
      </c>
      <c r="O60" s="34">
        <v>200.18204999999998</v>
      </c>
      <c r="Q60" s="34">
        <v>2964.55</v>
      </c>
      <c r="R60" s="34">
        <v>3245.23</v>
      </c>
      <c r="S60" s="34">
        <v>3166.06</v>
      </c>
    </row>
    <row r="61" spans="1:19" x14ac:dyDescent="0.35">
      <c r="A61" s="112">
        <v>41</v>
      </c>
      <c r="B61" s="6" t="s">
        <v>46</v>
      </c>
      <c r="C61" s="6">
        <v>5</v>
      </c>
      <c r="D61" s="6">
        <v>1</v>
      </c>
      <c r="E61" s="6">
        <v>17</v>
      </c>
      <c r="F61" s="38">
        <f t="shared" si="1"/>
        <v>23</v>
      </c>
      <c r="H61" s="7">
        <v>54.8</v>
      </c>
      <c r="I61" s="7">
        <v>64</v>
      </c>
      <c r="J61" s="7">
        <v>64.81</v>
      </c>
      <c r="K61" s="7">
        <v>62.5</v>
      </c>
      <c r="M61" s="34">
        <v>222.42583999999999</v>
      </c>
      <c r="N61" s="34">
        <v>288.73333000000002</v>
      </c>
      <c r="O61" s="34">
        <v>272.15646000000004</v>
      </c>
      <c r="Q61" s="34">
        <v>4312.99</v>
      </c>
      <c r="R61" s="34">
        <v>4558.13</v>
      </c>
      <c r="S61" s="34">
        <v>4496.84</v>
      </c>
    </row>
    <row r="62" spans="1:19" x14ac:dyDescent="0.35">
      <c r="A62" s="112">
        <v>42</v>
      </c>
      <c r="B62" s="6" t="s">
        <v>47</v>
      </c>
      <c r="C62" s="6">
        <v>22</v>
      </c>
      <c r="D62" s="6">
        <v>1</v>
      </c>
      <c r="E62" s="6">
        <v>3</v>
      </c>
      <c r="F62" s="38">
        <f t="shared" si="1"/>
        <v>26</v>
      </c>
      <c r="H62" s="7">
        <v>100.95</v>
      </c>
      <c r="I62" s="7">
        <v>0</v>
      </c>
      <c r="J62" s="7">
        <v>91.33</v>
      </c>
      <c r="K62" s="7">
        <v>99.8</v>
      </c>
      <c r="M62" s="34">
        <v>460.28659000000005</v>
      </c>
      <c r="N62" s="34">
        <v>389.66667000000001</v>
      </c>
      <c r="O62" s="34">
        <v>451.81220000000002</v>
      </c>
      <c r="Q62" s="34">
        <v>4550.41</v>
      </c>
      <c r="R62" s="34">
        <v>3639.68</v>
      </c>
      <c r="S62" s="34">
        <v>4441.12</v>
      </c>
    </row>
    <row r="63" spans="1:19" x14ac:dyDescent="0.35">
      <c r="A63" s="112">
        <v>43</v>
      </c>
      <c r="B63" s="6" t="s">
        <v>48</v>
      </c>
      <c r="C63" s="6">
        <v>66</v>
      </c>
      <c r="D63" s="6">
        <v>18</v>
      </c>
      <c r="E63" s="6">
        <v>180</v>
      </c>
      <c r="F63" s="38">
        <f t="shared" si="1"/>
        <v>264</v>
      </c>
      <c r="H63" s="7">
        <v>79.84</v>
      </c>
      <c r="I63" s="7">
        <v>70.290000000000006</v>
      </c>
      <c r="J63" s="7">
        <v>67.989999999999995</v>
      </c>
      <c r="K63" s="7">
        <v>71.209999999999994</v>
      </c>
      <c r="M63" s="34">
        <v>342.30365</v>
      </c>
      <c r="N63" s="34">
        <v>274.65921999999995</v>
      </c>
      <c r="O63" s="34">
        <v>295.65232000000003</v>
      </c>
      <c r="Q63" s="34">
        <v>4263.33</v>
      </c>
      <c r="R63" s="34">
        <v>3917.11</v>
      </c>
      <c r="S63" s="34">
        <v>4024.56</v>
      </c>
    </row>
    <row r="64" spans="1:19" x14ac:dyDescent="0.35">
      <c r="A64" s="112">
        <v>44</v>
      </c>
      <c r="B64" s="6" t="s">
        <v>49</v>
      </c>
      <c r="C64" s="6">
        <v>4</v>
      </c>
      <c r="D64" s="6">
        <v>0</v>
      </c>
      <c r="E64" s="6">
        <v>178</v>
      </c>
      <c r="F64" s="38">
        <f t="shared" si="1"/>
        <v>182</v>
      </c>
      <c r="H64" s="7">
        <v>65.25</v>
      </c>
      <c r="I64" s="7">
        <v>0</v>
      </c>
      <c r="J64" s="7">
        <v>73.63</v>
      </c>
      <c r="K64" s="7">
        <v>73.430000000000007</v>
      </c>
      <c r="M64" s="34">
        <v>356.25</v>
      </c>
      <c r="N64" s="34">
        <v>254.88489000000001</v>
      </c>
      <c r="O64" s="34">
        <v>257.35721000000001</v>
      </c>
      <c r="Q64" s="34">
        <v>5636.67</v>
      </c>
      <c r="R64" s="34">
        <v>3563.3</v>
      </c>
      <c r="S64" s="34">
        <v>3613.87</v>
      </c>
    </row>
    <row r="65" spans="1:19" x14ac:dyDescent="0.35">
      <c r="A65" s="112">
        <v>45</v>
      </c>
      <c r="B65" s="6" t="s">
        <v>50</v>
      </c>
      <c r="C65" s="6">
        <v>2</v>
      </c>
      <c r="D65" s="6">
        <v>0</v>
      </c>
      <c r="E65" s="6">
        <v>205</v>
      </c>
      <c r="F65" s="38">
        <f t="shared" si="1"/>
        <v>207</v>
      </c>
      <c r="H65" s="7">
        <v>65</v>
      </c>
      <c r="I65" s="7">
        <v>0</v>
      </c>
      <c r="J65" s="7">
        <v>65.930000000000007</v>
      </c>
      <c r="K65" s="7">
        <v>65.92</v>
      </c>
      <c r="M65" s="59" t="s">
        <v>100</v>
      </c>
      <c r="N65" s="34">
        <v>221.67870000000002</v>
      </c>
      <c r="O65" s="34">
        <v>221.35772</v>
      </c>
      <c r="Q65" s="59" t="s">
        <v>100</v>
      </c>
      <c r="R65" s="34">
        <v>3410.13</v>
      </c>
      <c r="S65" s="34">
        <v>3405.2</v>
      </c>
    </row>
    <row r="66" spans="1:19" x14ac:dyDescent="0.35">
      <c r="A66" s="112">
        <v>46</v>
      </c>
      <c r="B66" s="6" t="s">
        <v>51</v>
      </c>
      <c r="C66" s="6">
        <v>2</v>
      </c>
      <c r="D66" s="6">
        <v>0</v>
      </c>
      <c r="E66" s="6">
        <v>193</v>
      </c>
      <c r="F66" s="38">
        <f t="shared" si="1"/>
        <v>195</v>
      </c>
      <c r="H66" s="7">
        <v>61.5</v>
      </c>
      <c r="I66" s="7">
        <v>0</v>
      </c>
      <c r="J66" s="7">
        <v>62.61</v>
      </c>
      <c r="K66" s="7">
        <v>62.6</v>
      </c>
      <c r="M66" s="59" t="s">
        <v>100</v>
      </c>
      <c r="N66" s="34">
        <v>167.24105</v>
      </c>
      <c r="O66" s="34">
        <v>168.03081</v>
      </c>
      <c r="Q66" s="59" t="s">
        <v>100</v>
      </c>
      <c r="R66" s="34">
        <v>2683.99</v>
      </c>
      <c r="S66" s="34">
        <v>2703.25</v>
      </c>
    </row>
    <row r="67" spans="1:19" x14ac:dyDescent="0.35">
      <c r="A67" s="112">
        <v>47</v>
      </c>
      <c r="B67" s="6" t="s">
        <v>52</v>
      </c>
      <c r="C67" s="6">
        <v>0</v>
      </c>
      <c r="D67" s="6">
        <v>0</v>
      </c>
      <c r="E67" s="6">
        <v>5</v>
      </c>
      <c r="F67" s="38">
        <f t="shared" si="1"/>
        <v>5</v>
      </c>
      <c r="H67" s="7">
        <v>0</v>
      </c>
      <c r="I67" s="7">
        <v>0</v>
      </c>
      <c r="J67" s="7">
        <v>72.67</v>
      </c>
      <c r="K67" s="7">
        <v>72.67</v>
      </c>
      <c r="M67" s="34">
        <v>0</v>
      </c>
      <c r="N67" s="34">
        <v>204.66667000000001</v>
      </c>
      <c r="O67" s="34">
        <v>204.66667000000001</v>
      </c>
      <c r="Q67" s="34">
        <v>0</v>
      </c>
      <c r="R67" s="34">
        <v>2771.56</v>
      </c>
      <c r="S67" s="34">
        <v>2771.56</v>
      </c>
    </row>
    <row r="68" spans="1:19" x14ac:dyDescent="0.35">
      <c r="A68" s="112">
        <v>48</v>
      </c>
      <c r="B68" s="6" t="s">
        <v>53</v>
      </c>
      <c r="C68" s="6">
        <v>0</v>
      </c>
      <c r="D68" s="6">
        <v>0</v>
      </c>
      <c r="E68" s="6">
        <v>96</v>
      </c>
      <c r="F68" s="38">
        <f t="shared" si="1"/>
        <v>96</v>
      </c>
      <c r="H68" s="7">
        <v>0</v>
      </c>
      <c r="I68" s="7">
        <v>0</v>
      </c>
      <c r="J68" s="7">
        <v>73.599999999999994</v>
      </c>
      <c r="K68" s="7">
        <v>73.599999999999994</v>
      </c>
      <c r="M68" s="34">
        <v>0</v>
      </c>
      <c r="N68" s="34">
        <v>233.68356</v>
      </c>
      <c r="O68" s="34">
        <v>233.68356</v>
      </c>
      <c r="Q68" s="34">
        <v>0</v>
      </c>
      <c r="R68" s="34">
        <v>3227.02</v>
      </c>
      <c r="S68" s="34">
        <v>3227.02</v>
      </c>
    </row>
    <row r="69" spans="1:19" x14ac:dyDescent="0.35">
      <c r="A69" s="112">
        <v>49</v>
      </c>
      <c r="B69" s="6" t="s">
        <v>54</v>
      </c>
      <c r="C69" s="6">
        <v>0</v>
      </c>
      <c r="D69" s="6">
        <v>0</v>
      </c>
      <c r="E69" s="6">
        <v>31</v>
      </c>
      <c r="F69" s="38">
        <f t="shared" si="1"/>
        <v>31</v>
      </c>
      <c r="H69" s="7">
        <v>0</v>
      </c>
      <c r="I69" s="7">
        <v>0</v>
      </c>
      <c r="J69" s="7">
        <v>69.61</v>
      </c>
      <c r="K69" s="7">
        <v>69.61</v>
      </c>
      <c r="M69" s="34">
        <v>0</v>
      </c>
      <c r="N69" s="34">
        <v>206.06332999999998</v>
      </c>
      <c r="O69" s="34">
        <v>206.06332999999998</v>
      </c>
      <c r="Q69" s="34">
        <v>0</v>
      </c>
      <c r="R69" s="34">
        <v>2920.75</v>
      </c>
      <c r="S69" s="34">
        <v>2920.75</v>
      </c>
    </row>
    <row r="70" spans="1:19" x14ac:dyDescent="0.35">
      <c r="A70" s="112">
        <v>50</v>
      </c>
      <c r="B70" s="6" t="s">
        <v>55</v>
      </c>
      <c r="C70" s="6">
        <v>1</v>
      </c>
      <c r="D70" s="6">
        <v>0</v>
      </c>
      <c r="E70" s="6">
        <v>199</v>
      </c>
      <c r="F70" s="38">
        <f t="shared" si="1"/>
        <v>200</v>
      </c>
      <c r="H70" s="7">
        <v>220</v>
      </c>
      <c r="I70" s="7">
        <v>0</v>
      </c>
      <c r="J70" s="7">
        <v>60.72</v>
      </c>
      <c r="K70" s="7">
        <v>61.6</v>
      </c>
      <c r="M70" s="59" t="s">
        <v>100</v>
      </c>
      <c r="N70" s="34">
        <v>133.60934</v>
      </c>
      <c r="O70" s="34">
        <v>135.1037</v>
      </c>
      <c r="Q70" s="59" t="s">
        <v>100</v>
      </c>
      <c r="R70" s="34">
        <v>2338.09</v>
      </c>
      <c r="S70" s="34">
        <v>2328.86</v>
      </c>
    </row>
    <row r="71" spans="1:19" x14ac:dyDescent="0.35">
      <c r="A71" s="112">
        <v>51</v>
      </c>
      <c r="B71" s="6" t="s">
        <v>56</v>
      </c>
      <c r="C71" s="6">
        <v>0</v>
      </c>
      <c r="D71" s="6">
        <v>0</v>
      </c>
      <c r="E71" s="6">
        <v>151</v>
      </c>
      <c r="F71" s="38">
        <f t="shared" si="1"/>
        <v>151</v>
      </c>
      <c r="H71" s="7">
        <v>0</v>
      </c>
      <c r="I71" s="7">
        <v>0</v>
      </c>
      <c r="J71" s="7">
        <v>56.09</v>
      </c>
      <c r="K71" s="7">
        <v>56.09</v>
      </c>
      <c r="M71" s="34">
        <v>0</v>
      </c>
      <c r="N71" s="34">
        <v>157.69905</v>
      </c>
      <c r="O71" s="34">
        <v>157.69905</v>
      </c>
      <c r="Q71" s="34">
        <v>0</v>
      </c>
      <c r="R71" s="34">
        <v>2873.45</v>
      </c>
      <c r="S71" s="34">
        <v>2873.45</v>
      </c>
    </row>
    <row r="72" spans="1:19" x14ac:dyDescent="0.35">
      <c r="A72" s="112">
        <v>52</v>
      </c>
      <c r="B72" s="6" t="s">
        <v>57</v>
      </c>
      <c r="C72" s="6">
        <v>8</v>
      </c>
      <c r="D72" s="6">
        <v>0</v>
      </c>
      <c r="E72" s="6">
        <v>286</v>
      </c>
      <c r="F72" s="38">
        <f t="shared" si="1"/>
        <v>294</v>
      </c>
      <c r="H72" s="7">
        <v>84.75</v>
      </c>
      <c r="I72" s="7">
        <v>0</v>
      </c>
      <c r="J72" s="7">
        <v>61.07</v>
      </c>
      <c r="K72" s="7">
        <v>61.43</v>
      </c>
      <c r="M72" s="34">
        <v>262.82499999999999</v>
      </c>
      <c r="N72" s="34">
        <v>181.14343</v>
      </c>
      <c r="O72" s="34">
        <v>182.43995999999999</v>
      </c>
      <c r="Q72" s="34">
        <v>3779.6</v>
      </c>
      <c r="R72" s="34">
        <v>3016.82</v>
      </c>
      <c r="S72" s="34">
        <v>3028.93</v>
      </c>
    </row>
    <row r="73" spans="1:19" x14ac:dyDescent="0.35">
      <c r="A73" s="112">
        <v>53</v>
      </c>
      <c r="B73" s="6" t="s">
        <v>58</v>
      </c>
      <c r="C73" s="6">
        <v>0</v>
      </c>
      <c r="D73" s="6">
        <v>0</v>
      </c>
      <c r="E73" s="6">
        <v>97</v>
      </c>
      <c r="F73" s="38">
        <f t="shared" si="1"/>
        <v>97</v>
      </c>
      <c r="H73" s="7">
        <v>0</v>
      </c>
      <c r="I73" s="7">
        <v>0</v>
      </c>
      <c r="J73" s="7">
        <v>62.48</v>
      </c>
      <c r="K73" s="7">
        <v>62.48</v>
      </c>
      <c r="M73" s="34">
        <v>0</v>
      </c>
      <c r="N73" s="34">
        <v>135.05966000000001</v>
      </c>
      <c r="O73" s="34">
        <v>135.05966000000001</v>
      </c>
      <c r="Q73" s="34">
        <v>0</v>
      </c>
      <c r="R73" s="34">
        <v>2224.39</v>
      </c>
      <c r="S73" s="34">
        <v>2224.39</v>
      </c>
    </row>
    <row r="74" spans="1:19" x14ac:dyDescent="0.35">
      <c r="A74" s="112">
        <v>54</v>
      </c>
      <c r="B74" s="6" t="s">
        <v>59</v>
      </c>
      <c r="C74" s="6">
        <v>0</v>
      </c>
      <c r="D74" s="6">
        <v>0</v>
      </c>
      <c r="E74" s="6">
        <v>18</v>
      </c>
      <c r="F74" s="38">
        <f t="shared" si="1"/>
        <v>18</v>
      </c>
      <c r="H74" s="7">
        <v>0</v>
      </c>
      <c r="I74" s="7">
        <v>0</v>
      </c>
      <c r="J74" s="7">
        <v>67.5</v>
      </c>
      <c r="K74" s="7">
        <v>67.5</v>
      </c>
      <c r="M74" s="34">
        <v>0</v>
      </c>
      <c r="N74" s="34">
        <v>134.77193</v>
      </c>
      <c r="O74" s="34">
        <v>134.77193</v>
      </c>
      <c r="Q74" s="34">
        <v>0</v>
      </c>
      <c r="R74" s="34">
        <v>2153.21</v>
      </c>
      <c r="S74" s="34">
        <v>2153.21</v>
      </c>
    </row>
    <row r="75" spans="1:19" x14ac:dyDescent="0.35">
      <c r="A75" s="112">
        <v>55</v>
      </c>
      <c r="B75" s="6" t="s">
        <v>60</v>
      </c>
      <c r="C75" s="6">
        <v>0</v>
      </c>
      <c r="D75" s="6">
        <v>0</v>
      </c>
      <c r="E75" s="6">
        <v>161</v>
      </c>
      <c r="F75" s="38">
        <f t="shared" si="1"/>
        <v>161</v>
      </c>
      <c r="H75" s="7">
        <v>0</v>
      </c>
      <c r="I75" s="7">
        <v>0</v>
      </c>
      <c r="J75" s="7">
        <v>60.49</v>
      </c>
      <c r="K75" s="7">
        <v>60.49</v>
      </c>
      <c r="M75" s="34">
        <v>0</v>
      </c>
      <c r="N75" s="34">
        <v>113.41836000000001</v>
      </c>
      <c r="O75" s="34">
        <v>113.41836000000001</v>
      </c>
      <c r="Q75" s="34">
        <v>0</v>
      </c>
      <c r="R75" s="34">
        <v>1923.22</v>
      </c>
      <c r="S75" s="34">
        <v>1923.22</v>
      </c>
    </row>
    <row r="76" spans="1:19" x14ac:dyDescent="0.35">
      <c r="A76" s="112">
        <v>56</v>
      </c>
      <c r="B76" s="6" t="s">
        <v>78</v>
      </c>
      <c r="C76" s="6">
        <v>0</v>
      </c>
      <c r="D76" s="6">
        <v>0</v>
      </c>
      <c r="E76" s="6">
        <v>4</v>
      </c>
      <c r="F76" s="38">
        <f t="shared" si="1"/>
        <v>4</v>
      </c>
      <c r="H76" s="7">
        <v>0</v>
      </c>
      <c r="I76" s="7">
        <v>0</v>
      </c>
      <c r="J76" s="7">
        <v>82.33</v>
      </c>
      <c r="K76" s="7">
        <v>82.33</v>
      </c>
      <c r="M76" s="34">
        <v>0</v>
      </c>
      <c r="N76" s="34">
        <v>218.75</v>
      </c>
      <c r="O76" s="34">
        <v>218.75</v>
      </c>
      <c r="Q76" s="34">
        <v>0</v>
      </c>
      <c r="R76" s="34">
        <v>2605.56</v>
      </c>
      <c r="S76" s="34">
        <v>2605.56</v>
      </c>
    </row>
    <row r="77" spans="1:19" x14ac:dyDescent="0.35">
      <c r="A77" s="112">
        <v>57</v>
      </c>
      <c r="B77" s="6" t="s">
        <v>61</v>
      </c>
      <c r="C77" s="6">
        <v>3</v>
      </c>
      <c r="D77" s="6">
        <v>0</v>
      </c>
      <c r="E77" s="6">
        <v>153</v>
      </c>
      <c r="F77" s="38">
        <f t="shared" si="1"/>
        <v>156</v>
      </c>
      <c r="H77" s="7">
        <v>85.5</v>
      </c>
      <c r="I77" s="7">
        <v>0</v>
      </c>
      <c r="J77" s="7">
        <v>60.92</v>
      </c>
      <c r="K77" s="7">
        <v>61.26</v>
      </c>
      <c r="M77" s="34">
        <v>254.95</v>
      </c>
      <c r="N77" s="34">
        <v>125.13563000000001</v>
      </c>
      <c r="O77" s="34">
        <v>127.17994999999999</v>
      </c>
      <c r="Q77" s="34">
        <v>3499.11</v>
      </c>
      <c r="R77" s="34">
        <v>2160.69</v>
      </c>
      <c r="S77" s="34">
        <v>2181.77</v>
      </c>
    </row>
    <row r="78" spans="1:19" x14ac:dyDescent="0.35">
      <c r="A78" s="112">
        <v>58</v>
      </c>
      <c r="B78" s="6" t="s">
        <v>62</v>
      </c>
      <c r="C78" s="6">
        <v>0</v>
      </c>
      <c r="D78" s="6">
        <v>0</v>
      </c>
      <c r="E78" s="6">
        <v>25</v>
      </c>
      <c r="F78" s="38">
        <f t="shared" si="1"/>
        <v>25</v>
      </c>
      <c r="H78" s="7">
        <v>0</v>
      </c>
      <c r="I78" s="7">
        <v>0</v>
      </c>
      <c r="J78" s="7">
        <v>70.06</v>
      </c>
      <c r="K78" s="7">
        <v>70.06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</row>
    <row r="79" spans="1:19" x14ac:dyDescent="0.35">
      <c r="A79" s="112">
        <v>59</v>
      </c>
      <c r="B79" s="6" t="s">
        <v>63</v>
      </c>
      <c r="C79" s="6">
        <v>10</v>
      </c>
      <c r="D79" s="6">
        <v>1</v>
      </c>
      <c r="E79" s="6">
        <v>127</v>
      </c>
      <c r="F79" s="38">
        <f t="shared" si="1"/>
        <v>138</v>
      </c>
      <c r="H79" s="7">
        <v>93.89</v>
      </c>
      <c r="I79" s="7">
        <v>86</v>
      </c>
      <c r="J79" s="7">
        <v>68.75</v>
      </c>
      <c r="K79" s="7">
        <v>70.650000000000006</v>
      </c>
      <c r="M79" s="34">
        <v>184.90618000000001</v>
      </c>
      <c r="N79" s="34">
        <v>179.51343</v>
      </c>
      <c r="O79" s="34">
        <v>179.92129</v>
      </c>
      <c r="Q79" s="34">
        <v>1918.38</v>
      </c>
      <c r="R79" s="34">
        <v>2595.8200000000002</v>
      </c>
      <c r="S79" s="34">
        <v>2544.59</v>
      </c>
    </row>
    <row r="80" spans="1:19" x14ac:dyDescent="0.35">
      <c r="A80" s="112">
        <v>60</v>
      </c>
      <c r="B80" s="6" t="s">
        <v>64</v>
      </c>
      <c r="C80" s="6">
        <v>26</v>
      </c>
      <c r="D80" s="6">
        <v>4</v>
      </c>
      <c r="E80" s="6">
        <v>398</v>
      </c>
      <c r="F80" s="38">
        <f t="shared" si="1"/>
        <v>428</v>
      </c>
      <c r="H80" s="7">
        <v>79.19</v>
      </c>
      <c r="I80" s="7">
        <v>66</v>
      </c>
      <c r="J80" s="7">
        <v>75.540000000000006</v>
      </c>
      <c r="K80" s="7">
        <v>75.680000000000007</v>
      </c>
      <c r="M80" s="34">
        <v>443.10388</v>
      </c>
      <c r="N80" s="34">
        <v>284.88754999999998</v>
      </c>
      <c r="O80" s="34">
        <v>295.82803999999999</v>
      </c>
      <c r="Q80" s="34">
        <v>5811.22</v>
      </c>
      <c r="R80" s="34">
        <v>3879.2</v>
      </c>
      <c r="S80" s="34">
        <v>4012.8</v>
      </c>
    </row>
    <row r="81" spans="1:19" x14ac:dyDescent="0.35">
      <c r="A81" s="112">
        <v>61</v>
      </c>
      <c r="B81" s="6" t="s">
        <v>65</v>
      </c>
      <c r="C81" s="6">
        <v>32</v>
      </c>
      <c r="D81" s="6">
        <v>0</v>
      </c>
      <c r="E81" s="6">
        <v>186</v>
      </c>
      <c r="F81" s="38">
        <f t="shared" si="1"/>
        <v>218</v>
      </c>
      <c r="H81" s="7">
        <v>76.58</v>
      </c>
      <c r="I81" s="7">
        <v>0</v>
      </c>
      <c r="J81" s="7">
        <v>72.03</v>
      </c>
      <c r="K81" s="7">
        <v>72.75</v>
      </c>
      <c r="M81" s="34">
        <v>441.16128999999995</v>
      </c>
      <c r="N81" s="34">
        <v>277.88024000000001</v>
      </c>
      <c r="O81" s="34">
        <v>309.91640000000001</v>
      </c>
      <c r="Q81" s="34">
        <v>5783.02</v>
      </c>
      <c r="R81" s="34">
        <v>3897.96</v>
      </c>
      <c r="S81" s="34">
        <v>4267.8100000000004</v>
      </c>
    </row>
    <row r="82" spans="1:19" x14ac:dyDescent="0.35">
      <c r="A82" s="112">
        <v>62</v>
      </c>
      <c r="B82" s="6" t="s">
        <v>66</v>
      </c>
      <c r="C82" s="6">
        <v>13</v>
      </c>
      <c r="D82" s="6">
        <v>0</v>
      </c>
      <c r="E82" s="6">
        <v>124</v>
      </c>
      <c r="F82" s="38">
        <f t="shared" si="1"/>
        <v>137</v>
      </c>
      <c r="H82" s="7">
        <v>107.42</v>
      </c>
      <c r="I82" s="7">
        <v>0</v>
      </c>
      <c r="J82" s="7">
        <v>70.849999999999994</v>
      </c>
      <c r="K82" s="7">
        <v>74.25</v>
      </c>
      <c r="M82" s="34">
        <v>433.30135999999999</v>
      </c>
      <c r="N82" s="34">
        <v>256.85775999999998</v>
      </c>
      <c r="O82" s="34">
        <v>273.03176000000002</v>
      </c>
      <c r="Q82" s="34">
        <v>4220.32</v>
      </c>
      <c r="R82" s="34">
        <v>3669.33</v>
      </c>
      <c r="S82" s="34">
        <v>3719.84</v>
      </c>
    </row>
    <row r="83" spans="1:19" x14ac:dyDescent="0.35">
      <c r="A83" s="112">
        <v>63</v>
      </c>
      <c r="B83" s="1" t="s">
        <v>67</v>
      </c>
      <c r="C83" s="6">
        <v>2</v>
      </c>
      <c r="D83" s="6">
        <v>0</v>
      </c>
      <c r="E83" s="6">
        <v>164</v>
      </c>
      <c r="F83" s="38">
        <f t="shared" si="1"/>
        <v>166</v>
      </c>
      <c r="H83" s="7">
        <v>83</v>
      </c>
      <c r="I83" s="7">
        <v>0</v>
      </c>
      <c r="J83" s="7">
        <v>76.84</v>
      </c>
      <c r="K83" s="7">
        <v>76.92</v>
      </c>
      <c r="M83" s="59" t="s">
        <v>100</v>
      </c>
      <c r="N83" s="34">
        <v>297.81650999999999</v>
      </c>
      <c r="O83" s="34">
        <v>300.11473999999998</v>
      </c>
      <c r="Q83" s="59" t="s">
        <v>100</v>
      </c>
      <c r="R83" s="34">
        <v>3884.16</v>
      </c>
      <c r="S83" s="34">
        <v>3907.81</v>
      </c>
    </row>
    <row r="84" spans="1:19" x14ac:dyDescent="0.35">
      <c r="A84" s="112">
        <v>64</v>
      </c>
      <c r="B84" s="1" t="s">
        <v>68</v>
      </c>
      <c r="C84" s="6">
        <v>0</v>
      </c>
      <c r="D84" s="6">
        <v>0</v>
      </c>
      <c r="E84" s="6">
        <v>304</v>
      </c>
      <c r="F84" s="38">
        <f t="shared" si="1"/>
        <v>304</v>
      </c>
      <c r="H84" s="7">
        <v>0</v>
      </c>
      <c r="I84" s="7">
        <v>0</v>
      </c>
      <c r="J84" s="7">
        <v>72.849999999999994</v>
      </c>
      <c r="K84" s="7">
        <v>72.849999999999994</v>
      </c>
      <c r="M84" s="34">
        <v>0</v>
      </c>
      <c r="N84" s="34">
        <v>310.25668000000002</v>
      </c>
      <c r="O84" s="34">
        <v>310.25668000000002</v>
      </c>
      <c r="Q84" s="34">
        <v>0</v>
      </c>
      <c r="R84" s="34">
        <v>4365.97</v>
      </c>
      <c r="S84" s="34">
        <v>4365.97</v>
      </c>
    </row>
    <row r="85" spans="1:19" x14ac:dyDescent="0.35">
      <c r="A85" s="112">
        <v>65</v>
      </c>
      <c r="B85" s="1" t="s">
        <v>69</v>
      </c>
      <c r="C85" s="6">
        <v>7</v>
      </c>
      <c r="D85" s="6">
        <v>0</v>
      </c>
      <c r="E85" s="6">
        <v>189</v>
      </c>
      <c r="F85" s="38">
        <f t="shared" ref="F85:F93" si="2">SUM(C85:E85)</f>
        <v>196</v>
      </c>
      <c r="H85" s="7">
        <v>48.83</v>
      </c>
      <c r="I85" s="7">
        <v>0</v>
      </c>
      <c r="J85" s="7">
        <v>69.819999999999993</v>
      </c>
      <c r="K85" s="7">
        <v>69.099999999999994</v>
      </c>
      <c r="M85" s="34">
        <v>202.75</v>
      </c>
      <c r="N85" s="34">
        <v>297.59087</v>
      </c>
      <c r="O85" s="34">
        <v>292.51011</v>
      </c>
      <c r="Q85" s="34">
        <v>4529.41</v>
      </c>
      <c r="R85" s="34">
        <v>4490.62</v>
      </c>
      <c r="S85" s="34">
        <v>4492.7</v>
      </c>
    </row>
    <row r="86" spans="1:19" x14ac:dyDescent="0.35">
      <c r="A86" s="112">
        <v>66</v>
      </c>
      <c r="B86" s="1" t="s">
        <v>70</v>
      </c>
      <c r="C86" s="6">
        <v>5</v>
      </c>
      <c r="D86" s="6">
        <v>2</v>
      </c>
      <c r="E86" s="6">
        <v>121</v>
      </c>
      <c r="F86" s="38">
        <f t="shared" si="2"/>
        <v>128</v>
      </c>
      <c r="H86" s="7">
        <v>84.33</v>
      </c>
      <c r="I86" s="7">
        <v>56.5</v>
      </c>
      <c r="J86" s="7">
        <v>72.760000000000005</v>
      </c>
      <c r="K86" s="7">
        <v>72.78</v>
      </c>
      <c r="M86" s="34">
        <v>478.16667000000001</v>
      </c>
      <c r="N86" s="34">
        <v>362.63128</v>
      </c>
      <c r="O86" s="34">
        <v>365.75385999999997</v>
      </c>
      <c r="Q86" s="34">
        <v>5446.8</v>
      </c>
      <c r="R86" s="34">
        <v>5024.3599999999997</v>
      </c>
      <c r="S86" s="34">
        <v>5035.78</v>
      </c>
    </row>
    <row r="87" spans="1:19" x14ac:dyDescent="0.35">
      <c r="A87" s="112">
        <v>67</v>
      </c>
      <c r="B87" s="1" t="s">
        <v>71</v>
      </c>
      <c r="C87" s="6">
        <v>4</v>
      </c>
      <c r="D87" s="6">
        <v>0</v>
      </c>
      <c r="E87" s="6">
        <v>84</v>
      </c>
      <c r="F87" s="38">
        <f t="shared" si="2"/>
        <v>88</v>
      </c>
      <c r="H87" s="7">
        <v>64.5</v>
      </c>
      <c r="I87" s="7">
        <v>0</v>
      </c>
      <c r="J87" s="7">
        <v>93.13</v>
      </c>
      <c r="K87" s="7">
        <v>91.77</v>
      </c>
      <c r="M87" s="34">
        <v>348.8</v>
      </c>
      <c r="N87" s="34">
        <v>530.85191000000009</v>
      </c>
      <c r="O87" s="34">
        <v>522.18277</v>
      </c>
      <c r="Q87" s="34">
        <v>5927.88</v>
      </c>
      <c r="R87" s="34">
        <v>5823.37</v>
      </c>
      <c r="S87" s="34">
        <v>5828.35</v>
      </c>
    </row>
    <row r="88" spans="1:19" x14ac:dyDescent="0.35">
      <c r="A88" s="112">
        <v>68</v>
      </c>
      <c r="B88" s="1" t="s">
        <v>72</v>
      </c>
      <c r="C88" s="6">
        <v>48</v>
      </c>
      <c r="D88" s="6">
        <v>1</v>
      </c>
      <c r="E88" s="6">
        <v>303</v>
      </c>
      <c r="F88" s="38">
        <f t="shared" si="2"/>
        <v>352</v>
      </c>
      <c r="H88" s="7">
        <v>73.150000000000006</v>
      </c>
      <c r="I88" s="7">
        <v>83</v>
      </c>
      <c r="J88" s="7">
        <v>74.42</v>
      </c>
      <c r="K88" s="7">
        <v>74.27</v>
      </c>
      <c r="M88" s="34">
        <v>472.35641999999996</v>
      </c>
      <c r="N88" s="34">
        <v>395.92869000000002</v>
      </c>
      <c r="O88" s="34">
        <v>407.01915000000002</v>
      </c>
      <c r="Q88" s="34">
        <v>6574.82</v>
      </c>
      <c r="R88" s="34">
        <v>5385.51</v>
      </c>
      <c r="S88" s="34">
        <v>5558.09</v>
      </c>
    </row>
    <row r="89" spans="1:19" x14ac:dyDescent="0.35">
      <c r="A89" s="112">
        <v>69</v>
      </c>
      <c r="B89" s="1" t="s">
        <v>73</v>
      </c>
      <c r="C89" s="6">
        <v>84</v>
      </c>
      <c r="D89" s="6">
        <v>3</v>
      </c>
      <c r="E89" s="6">
        <v>127</v>
      </c>
      <c r="F89" s="38">
        <f t="shared" si="2"/>
        <v>214</v>
      </c>
      <c r="H89" s="7">
        <v>64.569999999999993</v>
      </c>
      <c r="I89" s="7">
        <v>69</v>
      </c>
      <c r="J89" s="7">
        <v>100.71</v>
      </c>
      <c r="K89" s="7">
        <v>86.12</v>
      </c>
      <c r="M89" s="34">
        <v>422.49688000000003</v>
      </c>
      <c r="N89" s="34">
        <v>640.96917000000008</v>
      </c>
      <c r="O89" s="34">
        <v>549.84756000000004</v>
      </c>
      <c r="Q89" s="34">
        <v>6515.12</v>
      </c>
      <c r="R89" s="34">
        <v>6264.75</v>
      </c>
      <c r="S89" s="34">
        <v>6369.18</v>
      </c>
    </row>
    <row r="90" spans="1:19" x14ac:dyDescent="0.35">
      <c r="A90" s="112">
        <v>70</v>
      </c>
      <c r="B90" s="1" t="s">
        <v>74</v>
      </c>
      <c r="C90" s="6">
        <v>18</v>
      </c>
      <c r="D90" s="6">
        <v>6</v>
      </c>
      <c r="E90" s="6">
        <v>274</v>
      </c>
      <c r="F90" s="38">
        <f t="shared" si="2"/>
        <v>298</v>
      </c>
      <c r="H90" s="7">
        <v>84.36</v>
      </c>
      <c r="I90" s="7">
        <v>70.5</v>
      </c>
      <c r="J90" s="7">
        <v>61.77</v>
      </c>
      <c r="K90" s="7">
        <v>63.19</v>
      </c>
      <c r="M90" s="34">
        <v>357.42856999999998</v>
      </c>
      <c r="N90" s="34">
        <v>169.48773</v>
      </c>
      <c r="O90" s="34">
        <v>181.23402999999999</v>
      </c>
      <c r="Q90" s="34">
        <v>3462.12</v>
      </c>
      <c r="R90" s="34">
        <v>2511.98</v>
      </c>
      <c r="S90" s="34">
        <v>2571.36</v>
      </c>
    </row>
    <row r="91" spans="1:19" x14ac:dyDescent="0.35">
      <c r="A91" s="112">
        <v>71</v>
      </c>
      <c r="B91" s="1" t="s">
        <v>75</v>
      </c>
      <c r="C91" s="6">
        <v>28</v>
      </c>
      <c r="D91" s="6">
        <v>9</v>
      </c>
      <c r="E91" s="6">
        <v>125</v>
      </c>
      <c r="F91" s="38">
        <f t="shared" si="2"/>
        <v>162</v>
      </c>
      <c r="H91" s="7">
        <v>73.37</v>
      </c>
      <c r="I91" s="7">
        <v>70.78</v>
      </c>
      <c r="J91" s="7">
        <v>76.930000000000007</v>
      </c>
      <c r="K91" s="7">
        <v>75.959999999999994</v>
      </c>
      <c r="M91" s="34">
        <v>345.88296000000003</v>
      </c>
      <c r="N91" s="34">
        <v>359.05651</v>
      </c>
      <c r="O91" s="34">
        <v>356.34134999999998</v>
      </c>
      <c r="Q91" s="34">
        <v>4520.84</v>
      </c>
      <c r="R91" s="34">
        <v>4656.93</v>
      </c>
      <c r="S91" s="34">
        <v>4628.88</v>
      </c>
    </row>
    <row r="92" spans="1:19" x14ac:dyDescent="0.35">
      <c r="A92" s="112">
        <v>72</v>
      </c>
      <c r="B92" s="1" t="s">
        <v>76</v>
      </c>
      <c r="C92" s="6">
        <v>0</v>
      </c>
      <c r="D92" s="6">
        <v>0</v>
      </c>
      <c r="E92" s="6">
        <v>184</v>
      </c>
      <c r="F92" s="38">
        <f t="shared" si="2"/>
        <v>184</v>
      </c>
      <c r="H92" s="7">
        <v>0</v>
      </c>
      <c r="I92" s="7">
        <v>0</v>
      </c>
      <c r="J92" s="7">
        <v>71.040000000000006</v>
      </c>
      <c r="K92" s="7">
        <v>71.040000000000006</v>
      </c>
      <c r="M92" s="34">
        <v>0</v>
      </c>
      <c r="N92" s="34">
        <v>232.98886999999999</v>
      </c>
      <c r="O92" s="34">
        <v>232.98886999999999</v>
      </c>
      <c r="Q92" s="34">
        <v>0</v>
      </c>
      <c r="R92" s="34">
        <v>3335.91</v>
      </c>
      <c r="S92" s="34">
        <v>3335.91</v>
      </c>
    </row>
    <row r="93" spans="1:19" x14ac:dyDescent="0.35">
      <c r="A93" s="112">
        <v>73</v>
      </c>
      <c r="B93" s="24" t="s">
        <v>77</v>
      </c>
      <c r="C93" s="27">
        <v>3</v>
      </c>
      <c r="D93" s="27">
        <v>0</v>
      </c>
      <c r="E93" s="27">
        <v>343</v>
      </c>
      <c r="F93" s="39">
        <f t="shared" si="2"/>
        <v>346</v>
      </c>
      <c r="G93" s="24"/>
      <c r="H93" s="25">
        <v>74.67</v>
      </c>
      <c r="I93" s="25">
        <v>0</v>
      </c>
      <c r="J93" s="25">
        <v>71.14</v>
      </c>
      <c r="K93" s="25">
        <v>71.17</v>
      </c>
      <c r="L93" s="25"/>
      <c r="M93" s="37">
        <v>400.66667000000001</v>
      </c>
      <c r="N93" s="37">
        <v>273.94263000000001</v>
      </c>
      <c r="O93" s="37">
        <v>275.40483</v>
      </c>
      <c r="P93" s="37"/>
      <c r="Q93" s="37">
        <v>5255.08</v>
      </c>
      <c r="R93" s="37">
        <v>3887.18</v>
      </c>
      <c r="S93" s="37">
        <v>3902.96</v>
      </c>
    </row>
    <row r="95" spans="1:19" x14ac:dyDescent="0.35">
      <c r="B95" s="114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5"/>
  <sheetViews>
    <sheetView workbookViewId="0"/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19" width="10.73046875" style="34" customWidth="1"/>
    <col min="20" max="16384" width="11.3984375" style="1"/>
  </cols>
  <sheetData>
    <row r="1" spans="1:19" ht="13.9" x14ac:dyDescent="0.4">
      <c r="A1" s="2" t="s">
        <v>91</v>
      </c>
    </row>
    <row r="2" spans="1:19" ht="13.15" x14ac:dyDescent="0.4">
      <c r="A2" s="31" t="s">
        <v>95</v>
      </c>
    </row>
    <row r="4" spans="1:19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19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58"/>
      <c r="Q5" s="54" t="s">
        <v>5</v>
      </c>
      <c r="R5" s="54" t="s">
        <v>2</v>
      </c>
      <c r="S5" s="54" t="s">
        <v>3</v>
      </c>
    </row>
    <row r="6" spans="1:19" s="22" customFormat="1" x14ac:dyDescent="0.35">
      <c r="B6" s="29" t="s">
        <v>94</v>
      </c>
      <c r="C6" s="6">
        <v>386</v>
      </c>
      <c r="D6" s="6">
        <v>20</v>
      </c>
      <c r="E6" s="6">
        <v>3954</v>
      </c>
      <c r="F6" s="6">
        <f t="shared" ref="F6" si="0">SUM(C6:E6)</f>
        <v>4360</v>
      </c>
      <c r="G6" s="1"/>
      <c r="H6" s="7">
        <v>80.099999999999994</v>
      </c>
      <c r="I6" s="7">
        <v>77.22</v>
      </c>
      <c r="J6" s="7">
        <v>79.83</v>
      </c>
      <c r="K6" s="7">
        <v>79.84</v>
      </c>
      <c r="L6" s="1"/>
      <c r="M6" s="34">
        <v>429.67865</v>
      </c>
      <c r="N6" s="34">
        <v>383.91570000000002</v>
      </c>
      <c r="O6" s="34">
        <v>388.19261</v>
      </c>
      <c r="P6" s="34"/>
      <c r="Q6" s="34">
        <v>5224.96</v>
      </c>
      <c r="R6" s="34">
        <v>4571.2299999999996</v>
      </c>
      <c r="S6" s="34">
        <v>4632.33</v>
      </c>
    </row>
    <row r="7" spans="1:19" s="22" customFormat="1" x14ac:dyDescent="0.35">
      <c r="B7" s="19"/>
      <c r="C7" s="26"/>
      <c r="D7" s="26"/>
      <c r="E7" s="26"/>
      <c r="F7" s="26"/>
      <c r="G7" s="19"/>
      <c r="H7" s="20"/>
      <c r="I7" s="20"/>
      <c r="J7" s="20"/>
      <c r="K7" s="20"/>
      <c r="L7" s="21"/>
      <c r="M7" s="35"/>
      <c r="N7" s="35"/>
      <c r="O7" s="35"/>
      <c r="P7" s="56"/>
      <c r="Q7" s="35"/>
      <c r="R7" s="35"/>
      <c r="S7" s="35"/>
    </row>
    <row r="8" spans="1:19" s="22" customFormat="1" x14ac:dyDescent="0.35">
      <c r="B8" s="23" t="s">
        <v>88</v>
      </c>
      <c r="C8" s="26"/>
      <c r="D8" s="26"/>
      <c r="E8" s="26"/>
      <c r="F8" s="26"/>
      <c r="G8" s="19"/>
      <c r="H8" s="20"/>
      <c r="I8" s="20"/>
      <c r="J8" s="20"/>
      <c r="K8" s="20"/>
      <c r="L8" s="21"/>
      <c r="M8" s="35"/>
      <c r="N8" s="35"/>
      <c r="O8" s="35"/>
      <c r="P8" s="56"/>
      <c r="Q8" s="35"/>
      <c r="R8" s="35"/>
      <c r="S8" s="35"/>
    </row>
    <row r="9" spans="1:19" s="22" customFormat="1" x14ac:dyDescent="0.35">
      <c r="A9" s="28">
        <v>1</v>
      </c>
      <c r="B9" s="19" t="s">
        <v>79</v>
      </c>
      <c r="C9" s="26">
        <v>29</v>
      </c>
      <c r="D9" s="26">
        <v>0</v>
      </c>
      <c r="E9" s="26">
        <v>393</v>
      </c>
      <c r="F9" s="26">
        <f t="shared" ref="F9:F18" si="1">SUM(C9:E9)</f>
        <v>422</v>
      </c>
      <c r="G9" s="19"/>
      <c r="H9" s="20">
        <v>51.81</v>
      </c>
      <c r="I9" s="20">
        <v>0</v>
      </c>
      <c r="J9" s="20">
        <v>69.83</v>
      </c>
      <c r="K9" s="20">
        <v>68.489999999999995</v>
      </c>
      <c r="L9" s="21"/>
      <c r="M9" s="35">
        <v>245.28257000000002</v>
      </c>
      <c r="N9" s="35">
        <v>285.40477000000004</v>
      </c>
      <c r="O9" s="35">
        <v>282.38981000000001</v>
      </c>
      <c r="P9" s="56"/>
      <c r="Q9" s="35">
        <v>4778.08</v>
      </c>
      <c r="R9" s="35">
        <v>4126.45</v>
      </c>
      <c r="S9" s="35">
        <v>4175.41</v>
      </c>
    </row>
    <row r="10" spans="1:19" s="22" customFormat="1" x14ac:dyDescent="0.35">
      <c r="A10" s="28">
        <v>2</v>
      </c>
      <c r="B10" s="19" t="s">
        <v>80</v>
      </c>
      <c r="C10" s="26">
        <v>92</v>
      </c>
      <c r="D10" s="26">
        <v>9</v>
      </c>
      <c r="E10" s="26">
        <v>604</v>
      </c>
      <c r="F10" s="26">
        <f t="shared" si="1"/>
        <v>705</v>
      </c>
      <c r="G10" s="19"/>
      <c r="H10" s="20">
        <v>95.85</v>
      </c>
      <c r="I10" s="20">
        <v>96</v>
      </c>
      <c r="J10" s="20">
        <v>92.37</v>
      </c>
      <c r="K10" s="20">
        <v>92.87</v>
      </c>
      <c r="L10" s="21"/>
      <c r="M10" s="35">
        <v>580.17506000000003</v>
      </c>
      <c r="N10" s="35">
        <v>537.53075999999999</v>
      </c>
      <c r="O10" s="35">
        <v>543.43974000000003</v>
      </c>
      <c r="P10" s="56"/>
      <c r="Q10" s="35">
        <v>5862.01</v>
      </c>
      <c r="R10" s="35">
        <v>5713.45</v>
      </c>
      <c r="S10" s="35">
        <v>5734.03</v>
      </c>
    </row>
    <row r="11" spans="1:19" s="22" customFormat="1" x14ac:dyDescent="0.35">
      <c r="A11" s="28">
        <v>3</v>
      </c>
      <c r="B11" s="19" t="s">
        <v>81</v>
      </c>
      <c r="C11" s="26">
        <v>65</v>
      </c>
      <c r="D11" s="26">
        <v>5</v>
      </c>
      <c r="E11" s="26">
        <v>425</v>
      </c>
      <c r="F11" s="26">
        <f t="shared" si="1"/>
        <v>495</v>
      </c>
      <c r="G11" s="19"/>
      <c r="H11" s="20">
        <v>74.83</v>
      </c>
      <c r="I11" s="20">
        <v>65.8</v>
      </c>
      <c r="J11" s="20">
        <v>66.19</v>
      </c>
      <c r="K11" s="20">
        <v>67.010000000000005</v>
      </c>
      <c r="L11" s="21"/>
      <c r="M11" s="35">
        <v>404.44160999999997</v>
      </c>
      <c r="N11" s="35">
        <v>280.53490999999997</v>
      </c>
      <c r="O11" s="35">
        <v>293.39610999999996</v>
      </c>
      <c r="P11" s="56"/>
      <c r="Q11" s="35">
        <v>5543.84</v>
      </c>
      <c r="R11" s="35">
        <v>4327.2</v>
      </c>
      <c r="S11" s="35">
        <v>4453.49</v>
      </c>
    </row>
    <row r="12" spans="1:19" s="22" customFormat="1" x14ac:dyDescent="0.35">
      <c r="A12" s="28">
        <v>4</v>
      </c>
      <c r="B12" s="19" t="s">
        <v>82</v>
      </c>
      <c r="C12" s="26">
        <v>3</v>
      </c>
      <c r="D12" s="26">
        <v>0</v>
      </c>
      <c r="E12" s="26">
        <v>176</v>
      </c>
      <c r="F12" s="26">
        <f t="shared" si="1"/>
        <v>179</v>
      </c>
      <c r="G12" s="19"/>
      <c r="H12" s="20">
        <v>109.67</v>
      </c>
      <c r="I12" s="20">
        <v>0</v>
      </c>
      <c r="J12" s="20">
        <v>101.81</v>
      </c>
      <c r="K12" s="20">
        <v>101.96</v>
      </c>
      <c r="L12" s="21"/>
      <c r="M12" s="36">
        <v>683.33366000000001</v>
      </c>
      <c r="N12" s="36">
        <v>589.37139000000002</v>
      </c>
      <c r="O12" s="36">
        <v>591.27602999999999</v>
      </c>
      <c r="P12" s="57"/>
      <c r="Q12" s="36">
        <v>6233.13</v>
      </c>
      <c r="R12" s="36">
        <v>5761.58</v>
      </c>
      <c r="S12" s="36">
        <v>5771.14</v>
      </c>
    </row>
    <row r="13" spans="1:19" s="22" customFormat="1" x14ac:dyDescent="0.35">
      <c r="A13" s="28">
        <v>5</v>
      </c>
      <c r="B13" s="19" t="s">
        <v>83</v>
      </c>
      <c r="C13" s="26">
        <v>12</v>
      </c>
      <c r="D13" s="26">
        <v>0</v>
      </c>
      <c r="E13" s="26">
        <v>324</v>
      </c>
      <c r="F13" s="26">
        <f t="shared" si="1"/>
        <v>336</v>
      </c>
      <c r="G13" s="19"/>
      <c r="H13" s="20">
        <v>135.9</v>
      </c>
      <c r="I13" s="20">
        <v>0</v>
      </c>
      <c r="J13" s="20">
        <v>127.21</v>
      </c>
      <c r="K13" s="20">
        <v>127.49</v>
      </c>
      <c r="L13" s="21"/>
      <c r="M13" s="36">
        <v>868.14318000000003</v>
      </c>
      <c r="N13" s="36">
        <v>806.56626000000006</v>
      </c>
      <c r="O13" s="36">
        <v>808.58517000000006</v>
      </c>
      <c r="P13" s="57"/>
      <c r="Q13" s="36">
        <v>5676.88</v>
      </c>
      <c r="R13" s="36">
        <v>6317.77</v>
      </c>
      <c r="S13" s="36">
        <v>6296.76</v>
      </c>
    </row>
    <row r="14" spans="1:19" s="22" customFormat="1" x14ac:dyDescent="0.35">
      <c r="A14" s="28">
        <v>6</v>
      </c>
      <c r="B14" s="19" t="s">
        <v>84</v>
      </c>
      <c r="C14" s="26">
        <v>15</v>
      </c>
      <c r="D14" s="26">
        <v>1</v>
      </c>
      <c r="E14" s="26">
        <v>299</v>
      </c>
      <c r="F14" s="26">
        <f t="shared" si="1"/>
        <v>315</v>
      </c>
      <c r="G14" s="19"/>
      <c r="H14" s="20">
        <v>60.83</v>
      </c>
      <c r="I14" s="20">
        <v>58</v>
      </c>
      <c r="J14" s="20">
        <v>76.94</v>
      </c>
      <c r="K14" s="20">
        <v>76.2</v>
      </c>
      <c r="L14" s="21"/>
      <c r="M14" s="36">
        <v>244.91675000000001</v>
      </c>
      <c r="N14" s="36">
        <v>390.67568</v>
      </c>
      <c r="O14" s="36">
        <v>384.40647999999999</v>
      </c>
      <c r="P14" s="57"/>
      <c r="Q14" s="36">
        <v>4082.33</v>
      </c>
      <c r="R14" s="36">
        <v>5198.76</v>
      </c>
      <c r="S14" s="36">
        <v>5150.74</v>
      </c>
    </row>
    <row r="15" spans="1:19" s="22" customFormat="1" x14ac:dyDescent="0.35">
      <c r="A15" s="28">
        <v>7</v>
      </c>
      <c r="B15" s="19" t="s">
        <v>85</v>
      </c>
      <c r="C15" s="26">
        <v>83</v>
      </c>
      <c r="D15" s="26">
        <v>2</v>
      </c>
      <c r="E15" s="26">
        <v>339</v>
      </c>
      <c r="F15" s="26">
        <f t="shared" si="1"/>
        <v>424</v>
      </c>
      <c r="G15" s="19"/>
      <c r="H15" s="20">
        <v>72.28</v>
      </c>
      <c r="I15" s="20">
        <v>63.5</v>
      </c>
      <c r="J15" s="20">
        <v>70.23</v>
      </c>
      <c r="K15" s="20">
        <v>70.599999999999994</v>
      </c>
      <c r="L15" s="21"/>
      <c r="M15" s="36">
        <v>281.57625000000002</v>
      </c>
      <c r="N15" s="36">
        <v>252.4059</v>
      </c>
      <c r="O15" s="36">
        <v>258.40494000000001</v>
      </c>
      <c r="P15" s="57"/>
      <c r="Q15" s="36">
        <v>3960.43</v>
      </c>
      <c r="R15" s="36">
        <v>3570.76</v>
      </c>
      <c r="S15" s="36">
        <v>3650.89</v>
      </c>
    </row>
    <row r="16" spans="1:19" s="22" customFormat="1" x14ac:dyDescent="0.35">
      <c r="A16" s="28">
        <v>8</v>
      </c>
      <c r="B16" s="19" t="s">
        <v>86</v>
      </c>
      <c r="C16" s="26">
        <v>1</v>
      </c>
      <c r="D16" s="26">
        <v>0</v>
      </c>
      <c r="E16" s="26">
        <v>457</v>
      </c>
      <c r="F16" s="26">
        <f t="shared" si="1"/>
        <v>458</v>
      </c>
      <c r="G16" s="19"/>
      <c r="H16" s="20">
        <v>58</v>
      </c>
      <c r="I16" s="20">
        <v>0</v>
      </c>
      <c r="J16" s="20">
        <v>64.260000000000005</v>
      </c>
      <c r="K16" s="20">
        <v>64.239999999999995</v>
      </c>
      <c r="L16" s="21"/>
      <c r="M16" s="59" t="s">
        <v>100</v>
      </c>
      <c r="N16" s="36">
        <v>184.74929</v>
      </c>
      <c r="O16" s="36">
        <v>185.00819000000001</v>
      </c>
      <c r="P16" s="57"/>
      <c r="Q16" s="59" t="s">
        <v>100</v>
      </c>
      <c r="R16" s="36">
        <v>2906.29</v>
      </c>
      <c r="S16" s="36">
        <v>2911.63</v>
      </c>
    </row>
    <row r="17" spans="1:19" s="22" customFormat="1" x14ac:dyDescent="0.35">
      <c r="A17" s="28">
        <v>9</v>
      </c>
      <c r="B17" s="19" t="s">
        <v>64</v>
      </c>
      <c r="C17" s="26">
        <v>40</v>
      </c>
      <c r="D17" s="26">
        <v>0</v>
      </c>
      <c r="E17" s="26">
        <v>328</v>
      </c>
      <c r="F17" s="26">
        <f t="shared" si="1"/>
        <v>368</v>
      </c>
      <c r="G17" s="19"/>
      <c r="H17" s="20">
        <v>80.31</v>
      </c>
      <c r="I17" s="20">
        <v>0</v>
      </c>
      <c r="J17" s="20">
        <v>72.2</v>
      </c>
      <c r="K17" s="20">
        <v>73.11</v>
      </c>
      <c r="L17" s="21"/>
      <c r="M17" s="36">
        <v>431.74634000000003</v>
      </c>
      <c r="N17" s="36">
        <v>250.45801999999998</v>
      </c>
      <c r="O17" s="36">
        <v>272.97095000000002</v>
      </c>
      <c r="P17" s="57"/>
      <c r="Q17" s="36">
        <v>5532.97</v>
      </c>
      <c r="R17" s="36">
        <v>3507.96</v>
      </c>
      <c r="S17" s="36">
        <v>3759.43</v>
      </c>
    </row>
    <row r="18" spans="1:19" s="22" customFormat="1" x14ac:dyDescent="0.35">
      <c r="A18" s="28">
        <v>10</v>
      </c>
      <c r="B18" s="19" t="s">
        <v>87</v>
      </c>
      <c r="C18" s="26">
        <v>46</v>
      </c>
      <c r="D18" s="26">
        <v>3</v>
      </c>
      <c r="E18" s="26">
        <v>586</v>
      </c>
      <c r="F18" s="26">
        <f t="shared" si="1"/>
        <v>635</v>
      </c>
      <c r="G18" s="19"/>
      <c r="H18" s="20">
        <v>77.239999999999995</v>
      </c>
      <c r="I18" s="20">
        <v>68</v>
      </c>
      <c r="J18" s="20">
        <v>73.59</v>
      </c>
      <c r="K18" s="20">
        <v>73.84</v>
      </c>
      <c r="L18" s="21"/>
      <c r="M18" s="36">
        <v>480.59921999999995</v>
      </c>
      <c r="N18" s="36">
        <v>328.5933</v>
      </c>
      <c r="O18" s="36">
        <v>341.47040999999996</v>
      </c>
      <c r="P18" s="57"/>
      <c r="Q18" s="36">
        <v>6136.47</v>
      </c>
      <c r="R18" s="36">
        <v>4398.32</v>
      </c>
      <c r="S18" s="36">
        <v>4545.57</v>
      </c>
    </row>
    <row r="19" spans="1:19" s="22" customFormat="1" x14ac:dyDescent="0.35">
      <c r="A19" s="28"/>
      <c r="B19" s="19"/>
      <c r="C19" s="26"/>
      <c r="D19" s="26"/>
      <c r="E19" s="26"/>
      <c r="F19" s="26"/>
      <c r="G19" s="19"/>
      <c r="H19" s="20"/>
      <c r="I19" s="20"/>
      <c r="J19" s="20"/>
      <c r="K19" s="20"/>
      <c r="L19" s="21"/>
      <c r="M19" s="35"/>
      <c r="N19" s="35"/>
      <c r="O19" s="35"/>
      <c r="P19" s="56"/>
      <c r="Q19" s="35"/>
      <c r="R19" s="35"/>
      <c r="S19" s="35"/>
    </row>
    <row r="20" spans="1:19" s="22" customFormat="1" x14ac:dyDescent="0.35">
      <c r="A20" s="28"/>
      <c r="B20" s="23" t="s">
        <v>89</v>
      </c>
      <c r="C20" s="26"/>
      <c r="D20" s="26"/>
      <c r="E20" s="26"/>
      <c r="F20" s="26"/>
      <c r="G20" s="19"/>
      <c r="H20" s="20"/>
      <c r="I20" s="20"/>
      <c r="J20" s="20"/>
      <c r="K20" s="20"/>
      <c r="L20" s="21"/>
      <c r="M20" s="35"/>
      <c r="N20" s="35"/>
      <c r="O20" s="35"/>
      <c r="P20" s="56"/>
      <c r="Q20" s="35"/>
      <c r="R20" s="35"/>
      <c r="S20" s="35"/>
    </row>
    <row r="21" spans="1:19" x14ac:dyDescent="0.35">
      <c r="A21" s="28">
        <v>1</v>
      </c>
      <c r="B21" s="15" t="s">
        <v>8</v>
      </c>
      <c r="C21" s="6">
        <v>14</v>
      </c>
      <c r="D21" s="6">
        <v>0</v>
      </c>
      <c r="E21" s="6">
        <v>223</v>
      </c>
      <c r="F21" s="38">
        <f t="shared" ref="F21:F84" si="2">SUM(C21:E21)</f>
        <v>237</v>
      </c>
      <c r="H21" s="7">
        <v>43.43</v>
      </c>
      <c r="I21" s="7">
        <v>0</v>
      </c>
      <c r="J21" s="7">
        <v>62.71</v>
      </c>
      <c r="K21" s="7">
        <v>61.27</v>
      </c>
      <c r="M21" s="34">
        <v>184.64285999999998</v>
      </c>
      <c r="N21" s="34">
        <v>217.67867999999999</v>
      </c>
      <c r="O21" s="34">
        <v>215.16507999999999</v>
      </c>
      <c r="Q21" s="34">
        <v>4101.68</v>
      </c>
      <c r="R21" s="34">
        <v>3593.37</v>
      </c>
      <c r="S21" s="34">
        <v>3632.05</v>
      </c>
    </row>
    <row r="22" spans="1:19" x14ac:dyDescent="0.35">
      <c r="A22" s="28">
        <v>2</v>
      </c>
      <c r="B22" s="15" t="s">
        <v>9</v>
      </c>
      <c r="C22" s="6">
        <v>4</v>
      </c>
      <c r="D22" s="6">
        <v>0</v>
      </c>
      <c r="E22" s="6">
        <v>71</v>
      </c>
      <c r="F22" s="38">
        <f t="shared" si="2"/>
        <v>75</v>
      </c>
      <c r="H22" s="7">
        <v>91</v>
      </c>
      <c r="I22" s="7">
        <v>0</v>
      </c>
      <c r="J22" s="7">
        <v>85.54</v>
      </c>
      <c r="K22" s="7">
        <v>85.88</v>
      </c>
      <c r="M22" s="34">
        <v>400.52418999999998</v>
      </c>
      <c r="N22" s="34">
        <v>411.59015999999997</v>
      </c>
      <c r="O22" s="34">
        <v>410.90917999999999</v>
      </c>
      <c r="Q22" s="34">
        <v>5069.42</v>
      </c>
      <c r="R22" s="34">
        <v>4842.57</v>
      </c>
      <c r="S22" s="34">
        <v>4856.53</v>
      </c>
    </row>
    <row r="23" spans="1:19" x14ac:dyDescent="0.35">
      <c r="A23" s="28">
        <v>3</v>
      </c>
      <c r="B23" s="15" t="s">
        <v>10</v>
      </c>
      <c r="C23" s="6">
        <v>5</v>
      </c>
      <c r="D23" s="6">
        <v>0</v>
      </c>
      <c r="E23" s="6">
        <v>29</v>
      </c>
      <c r="F23" s="38">
        <f t="shared" si="2"/>
        <v>34</v>
      </c>
      <c r="H23" s="7">
        <v>32.33</v>
      </c>
      <c r="I23" s="7">
        <v>0</v>
      </c>
      <c r="J23" s="7">
        <v>51.4</v>
      </c>
      <c r="K23" s="7">
        <v>49.36</v>
      </c>
      <c r="M23" s="34">
        <v>198.75</v>
      </c>
      <c r="N23" s="34">
        <v>259.92</v>
      </c>
      <c r="O23" s="34">
        <v>253.36607000000001</v>
      </c>
      <c r="Q23" s="34">
        <v>6165.17</v>
      </c>
      <c r="R23" s="34">
        <v>5442.42</v>
      </c>
      <c r="S23" s="34">
        <v>5519.86</v>
      </c>
    </row>
    <row r="24" spans="1:19" x14ac:dyDescent="0.35">
      <c r="A24" s="28">
        <v>4</v>
      </c>
      <c r="B24" s="15" t="s">
        <v>11</v>
      </c>
      <c r="C24" s="6">
        <v>6</v>
      </c>
      <c r="D24" s="6">
        <v>0</v>
      </c>
      <c r="E24" s="6">
        <v>70</v>
      </c>
      <c r="F24" s="38">
        <f t="shared" si="2"/>
        <v>76</v>
      </c>
      <c r="H24" s="7">
        <v>55.6</v>
      </c>
      <c r="I24" s="7">
        <v>0</v>
      </c>
      <c r="J24" s="7">
        <v>81.42</v>
      </c>
      <c r="K24" s="7">
        <v>79.55</v>
      </c>
      <c r="M24" s="34">
        <v>318.8</v>
      </c>
      <c r="N24" s="34">
        <v>354.98672999999997</v>
      </c>
      <c r="O24" s="34">
        <v>352.36450000000002</v>
      </c>
      <c r="Q24" s="34">
        <v>5606.68</v>
      </c>
      <c r="R24" s="34">
        <v>4345.83</v>
      </c>
      <c r="S24" s="34">
        <v>4437.2</v>
      </c>
    </row>
    <row r="25" spans="1:19" x14ac:dyDescent="0.35">
      <c r="A25" s="28">
        <v>5</v>
      </c>
      <c r="B25" s="15" t="s">
        <v>12</v>
      </c>
      <c r="C25" s="6">
        <v>1</v>
      </c>
      <c r="D25" s="6">
        <v>0</v>
      </c>
      <c r="E25" s="6">
        <v>67</v>
      </c>
      <c r="F25" s="38">
        <f t="shared" si="2"/>
        <v>68</v>
      </c>
      <c r="H25" s="7">
        <v>61</v>
      </c>
      <c r="I25" s="7">
        <v>0</v>
      </c>
      <c r="J25" s="7">
        <v>80.38</v>
      </c>
      <c r="K25" s="7">
        <v>80.08</v>
      </c>
      <c r="M25" s="59" t="s">
        <v>100</v>
      </c>
      <c r="N25" s="34">
        <v>381.68806999999998</v>
      </c>
      <c r="O25" s="34">
        <v>380.98341999999997</v>
      </c>
      <c r="Q25" s="59" t="s">
        <v>100</v>
      </c>
      <c r="R25" s="34">
        <v>4885.76</v>
      </c>
      <c r="S25" s="34">
        <v>4896.33</v>
      </c>
    </row>
    <row r="26" spans="1:19" x14ac:dyDescent="0.35">
      <c r="A26" s="28">
        <v>6</v>
      </c>
      <c r="B26" s="15" t="s">
        <v>13</v>
      </c>
      <c r="C26" s="6">
        <v>19</v>
      </c>
      <c r="D26" s="6">
        <v>0</v>
      </c>
      <c r="E26" s="6">
        <v>110</v>
      </c>
      <c r="F26" s="38">
        <f t="shared" si="2"/>
        <v>129</v>
      </c>
      <c r="H26" s="7">
        <v>105.95</v>
      </c>
      <c r="I26" s="7">
        <v>0</v>
      </c>
      <c r="J26" s="7">
        <v>76.16</v>
      </c>
      <c r="K26" s="7">
        <v>81.12</v>
      </c>
      <c r="M26" s="34">
        <v>650.13162999999997</v>
      </c>
      <c r="N26" s="34">
        <v>379.18637999999999</v>
      </c>
      <c r="O26" s="34">
        <v>424.74354999999997</v>
      </c>
      <c r="Q26" s="34">
        <v>6217.94</v>
      </c>
      <c r="R26" s="34">
        <v>5062.99</v>
      </c>
      <c r="S26" s="34">
        <v>5257.19</v>
      </c>
    </row>
    <row r="27" spans="1:19" x14ac:dyDescent="0.35">
      <c r="A27" s="28">
        <v>7</v>
      </c>
      <c r="B27" s="15" t="s">
        <v>14</v>
      </c>
      <c r="C27" s="6">
        <v>19</v>
      </c>
      <c r="D27" s="6">
        <v>0</v>
      </c>
      <c r="E27" s="6">
        <v>124</v>
      </c>
      <c r="F27" s="38">
        <f t="shared" si="2"/>
        <v>143</v>
      </c>
      <c r="H27" s="7">
        <v>116.31</v>
      </c>
      <c r="I27" s="7">
        <v>0</v>
      </c>
      <c r="J27" s="7">
        <v>117.12</v>
      </c>
      <c r="K27" s="7">
        <v>117.02</v>
      </c>
      <c r="M27" s="34">
        <v>997.57776999999999</v>
      </c>
      <c r="N27" s="34">
        <v>797.8576700000001</v>
      </c>
      <c r="O27" s="34">
        <v>823.01926000000003</v>
      </c>
      <c r="Q27" s="34">
        <v>8317.7999999999993</v>
      </c>
      <c r="R27" s="34">
        <v>6788.24</v>
      </c>
      <c r="S27" s="34">
        <v>6980.94</v>
      </c>
    </row>
    <row r="28" spans="1:19" x14ac:dyDescent="0.35">
      <c r="A28" s="28">
        <v>8</v>
      </c>
      <c r="B28" s="15" t="s">
        <v>15</v>
      </c>
      <c r="C28" s="6">
        <v>4</v>
      </c>
      <c r="D28" s="6">
        <v>0</v>
      </c>
      <c r="E28" s="6">
        <v>140</v>
      </c>
      <c r="F28" s="38">
        <f t="shared" si="2"/>
        <v>144</v>
      </c>
      <c r="H28" s="7">
        <v>73.67</v>
      </c>
      <c r="I28" s="7">
        <v>0</v>
      </c>
      <c r="J28" s="7">
        <v>99.51</v>
      </c>
      <c r="K28" s="7">
        <v>98.89</v>
      </c>
      <c r="M28" s="34">
        <v>402.33334000000002</v>
      </c>
      <c r="N28" s="34">
        <v>625.27511000000004</v>
      </c>
      <c r="O28" s="34">
        <v>619.83751000000007</v>
      </c>
      <c r="Q28" s="34">
        <v>5351.73</v>
      </c>
      <c r="R28" s="34">
        <v>6197.79</v>
      </c>
      <c r="S28" s="34">
        <v>6177.15</v>
      </c>
    </row>
    <row r="29" spans="1:19" x14ac:dyDescent="0.35">
      <c r="A29" s="28">
        <v>9</v>
      </c>
      <c r="B29" s="15" t="s">
        <v>16</v>
      </c>
      <c r="C29" s="6">
        <v>41</v>
      </c>
      <c r="D29" s="6">
        <v>9</v>
      </c>
      <c r="E29" s="6">
        <v>95</v>
      </c>
      <c r="F29" s="38">
        <f t="shared" si="2"/>
        <v>145</v>
      </c>
      <c r="H29" s="7">
        <v>82.89</v>
      </c>
      <c r="I29" s="7">
        <v>96</v>
      </c>
      <c r="J29" s="7">
        <v>81.37</v>
      </c>
      <c r="K29" s="7">
        <v>82.58</v>
      </c>
      <c r="M29" s="34">
        <v>417.80715000000004</v>
      </c>
      <c r="N29" s="34">
        <v>414.76278000000002</v>
      </c>
      <c r="O29" s="34">
        <v>415.77757000000003</v>
      </c>
      <c r="Q29" s="34">
        <v>5004.3999999999996</v>
      </c>
      <c r="R29" s="34">
        <v>5273.46</v>
      </c>
      <c r="S29" s="34">
        <v>5183.7700000000004</v>
      </c>
    </row>
    <row r="30" spans="1:19" x14ac:dyDescent="0.35">
      <c r="A30" s="28">
        <v>10</v>
      </c>
      <c r="B30" s="15" t="s">
        <v>17</v>
      </c>
      <c r="C30" s="6">
        <v>8</v>
      </c>
      <c r="D30" s="6">
        <v>0</v>
      </c>
      <c r="E30" s="6">
        <v>68</v>
      </c>
      <c r="F30" s="38">
        <f t="shared" si="2"/>
        <v>76</v>
      </c>
      <c r="H30" s="7">
        <v>108.33</v>
      </c>
      <c r="I30" s="7">
        <v>0</v>
      </c>
      <c r="J30" s="7">
        <v>84.87</v>
      </c>
      <c r="K30" s="7">
        <v>87.22</v>
      </c>
      <c r="M30" s="34">
        <v>403.18554999999998</v>
      </c>
      <c r="N30" s="34">
        <v>431.89246999999995</v>
      </c>
      <c r="O30" s="34">
        <v>429.02178000000004</v>
      </c>
      <c r="Q30" s="34">
        <v>3926.26</v>
      </c>
      <c r="R30" s="34">
        <v>5114.3500000000004</v>
      </c>
      <c r="S30" s="34">
        <v>4995.54</v>
      </c>
    </row>
    <row r="31" spans="1:19" x14ac:dyDescent="0.35">
      <c r="A31" s="28">
        <v>11</v>
      </c>
      <c r="B31" s="15" t="s">
        <v>96</v>
      </c>
      <c r="C31" s="6">
        <v>0</v>
      </c>
      <c r="D31" s="6">
        <v>0</v>
      </c>
      <c r="E31" s="6">
        <v>87</v>
      </c>
      <c r="F31" s="38">
        <f t="shared" si="2"/>
        <v>87</v>
      </c>
      <c r="H31" s="7">
        <v>0</v>
      </c>
      <c r="I31" s="7">
        <v>0</v>
      </c>
      <c r="J31" s="7">
        <v>57.05</v>
      </c>
      <c r="K31" s="7">
        <v>57.05</v>
      </c>
      <c r="M31" s="34">
        <v>0</v>
      </c>
      <c r="N31" s="34">
        <v>233.82601</v>
      </c>
      <c r="O31" s="34">
        <v>233.82601</v>
      </c>
      <c r="Q31" s="34">
        <v>0</v>
      </c>
      <c r="R31" s="34">
        <v>4150.29</v>
      </c>
      <c r="S31" s="34">
        <v>4150.29</v>
      </c>
    </row>
    <row r="32" spans="1:19" x14ac:dyDescent="0.35">
      <c r="A32" s="28">
        <v>12</v>
      </c>
      <c r="B32" s="15" t="s">
        <v>97</v>
      </c>
      <c r="C32" s="6">
        <v>25</v>
      </c>
      <c r="D32" s="6">
        <v>5</v>
      </c>
      <c r="E32" s="6">
        <v>3</v>
      </c>
      <c r="F32" s="38">
        <f t="shared" si="2"/>
        <v>33</v>
      </c>
      <c r="H32" s="7">
        <v>72.12</v>
      </c>
      <c r="I32" s="7">
        <v>65.8</v>
      </c>
      <c r="J32" s="7">
        <v>77</v>
      </c>
      <c r="K32" s="7">
        <v>71.61</v>
      </c>
      <c r="M32" s="34">
        <v>489.8442</v>
      </c>
      <c r="N32" s="34">
        <v>389</v>
      </c>
      <c r="O32" s="34">
        <v>485.96557999999999</v>
      </c>
      <c r="Q32" s="34">
        <v>6754.56</v>
      </c>
      <c r="R32" s="34">
        <v>3704.76</v>
      </c>
      <c r="S32" s="34">
        <v>6637.26</v>
      </c>
    </row>
    <row r="33" spans="1:19" x14ac:dyDescent="0.35">
      <c r="A33" s="28">
        <v>13</v>
      </c>
      <c r="B33" s="15" t="s">
        <v>18</v>
      </c>
      <c r="C33" s="6">
        <v>3</v>
      </c>
      <c r="D33" s="6">
        <v>0</v>
      </c>
      <c r="E33" s="6">
        <v>65</v>
      </c>
      <c r="F33" s="38">
        <f t="shared" si="2"/>
        <v>68</v>
      </c>
      <c r="H33" s="7">
        <v>63</v>
      </c>
      <c r="I33" s="7">
        <v>0</v>
      </c>
      <c r="J33" s="7">
        <v>72.599999999999994</v>
      </c>
      <c r="K33" s="7">
        <v>72.16</v>
      </c>
      <c r="M33" s="34">
        <v>200.33367000000001</v>
      </c>
      <c r="N33" s="34">
        <v>299.42777000000001</v>
      </c>
      <c r="O33" s="34">
        <v>293.10260999999997</v>
      </c>
      <c r="Q33" s="34">
        <v>3277.84</v>
      </c>
      <c r="R33" s="34">
        <v>4186.5200000000004</v>
      </c>
      <c r="S33" s="34">
        <v>4128.5200000000004</v>
      </c>
    </row>
    <row r="34" spans="1:19" x14ac:dyDescent="0.35">
      <c r="A34" s="28">
        <v>14</v>
      </c>
      <c r="B34" s="15" t="s">
        <v>19</v>
      </c>
      <c r="C34" s="6">
        <v>1</v>
      </c>
      <c r="D34" s="6">
        <v>0</v>
      </c>
      <c r="E34" s="6">
        <v>23</v>
      </c>
      <c r="F34" s="38">
        <f t="shared" si="2"/>
        <v>24</v>
      </c>
      <c r="H34" s="7">
        <v>0</v>
      </c>
      <c r="I34" s="7">
        <v>0</v>
      </c>
      <c r="J34" s="7">
        <v>71.53</v>
      </c>
      <c r="K34" s="7">
        <v>71.53</v>
      </c>
      <c r="M34" s="34">
        <v>0</v>
      </c>
      <c r="N34" s="34">
        <v>256.35835000000003</v>
      </c>
      <c r="O34" s="34">
        <v>256.35835000000003</v>
      </c>
      <c r="Q34" s="34">
        <v>0</v>
      </c>
      <c r="R34" s="34">
        <v>3767.26</v>
      </c>
      <c r="S34" s="34">
        <v>3767.26</v>
      </c>
    </row>
    <row r="35" spans="1:19" x14ac:dyDescent="0.35">
      <c r="A35" s="28">
        <v>15</v>
      </c>
      <c r="B35" s="15" t="s">
        <v>20</v>
      </c>
      <c r="C35" s="6">
        <v>8</v>
      </c>
      <c r="D35" s="6">
        <v>0</v>
      </c>
      <c r="E35" s="6">
        <v>23</v>
      </c>
      <c r="F35" s="38">
        <f t="shared" si="2"/>
        <v>31</v>
      </c>
      <c r="H35" s="7">
        <v>82.57</v>
      </c>
      <c r="I35" s="7">
        <v>0</v>
      </c>
      <c r="J35" s="7">
        <v>63.86</v>
      </c>
      <c r="K35" s="7">
        <v>68.540000000000006</v>
      </c>
      <c r="M35" s="34">
        <v>257.85714000000002</v>
      </c>
      <c r="N35" s="34">
        <v>263.42856999999998</v>
      </c>
      <c r="O35" s="34">
        <v>262.03570999999999</v>
      </c>
      <c r="Q35" s="34">
        <v>3552.15</v>
      </c>
      <c r="R35" s="34">
        <v>4347.1899999999996</v>
      </c>
      <c r="S35" s="34">
        <v>4148.43</v>
      </c>
    </row>
    <row r="36" spans="1:19" x14ac:dyDescent="0.35">
      <c r="A36" s="28">
        <v>16</v>
      </c>
      <c r="B36" s="15" t="s">
        <v>21</v>
      </c>
      <c r="C36" s="6">
        <v>0</v>
      </c>
      <c r="D36" s="6">
        <v>0</v>
      </c>
      <c r="E36" s="6">
        <v>41</v>
      </c>
      <c r="F36" s="38">
        <f t="shared" si="2"/>
        <v>41</v>
      </c>
      <c r="H36" s="7">
        <v>0</v>
      </c>
      <c r="I36" s="7">
        <v>0</v>
      </c>
      <c r="J36" s="7">
        <v>65.14</v>
      </c>
      <c r="K36" s="7">
        <v>65.14</v>
      </c>
      <c r="M36" s="34">
        <v>0</v>
      </c>
      <c r="N36" s="34">
        <v>260.96176000000003</v>
      </c>
      <c r="O36" s="34">
        <v>260.96176000000003</v>
      </c>
      <c r="Q36" s="34">
        <v>0</v>
      </c>
      <c r="R36" s="34">
        <v>4181.12</v>
      </c>
      <c r="S36" s="34">
        <v>4181.12</v>
      </c>
    </row>
    <row r="37" spans="1:19" x14ac:dyDescent="0.35">
      <c r="A37" s="28">
        <v>17</v>
      </c>
      <c r="B37" s="15" t="s">
        <v>22</v>
      </c>
      <c r="C37" s="6">
        <v>0</v>
      </c>
      <c r="D37" s="6">
        <v>0</v>
      </c>
      <c r="E37" s="6">
        <v>52</v>
      </c>
      <c r="F37" s="38">
        <f t="shared" si="2"/>
        <v>52</v>
      </c>
      <c r="H37" s="7">
        <v>0</v>
      </c>
      <c r="I37" s="7">
        <v>0</v>
      </c>
      <c r="J37" s="7">
        <v>68.33</v>
      </c>
      <c r="K37" s="7">
        <v>68.33</v>
      </c>
      <c r="M37" s="34">
        <v>0</v>
      </c>
      <c r="N37" s="34">
        <v>296.87337000000002</v>
      </c>
      <c r="O37" s="34">
        <v>296.87337000000002</v>
      </c>
      <c r="Q37" s="34">
        <v>0</v>
      </c>
      <c r="R37" s="34">
        <v>4239.83</v>
      </c>
      <c r="S37" s="34">
        <v>4239.83</v>
      </c>
    </row>
    <row r="38" spans="1:19" x14ac:dyDescent="0.35">
      <c r="A38" s="28">
        <v>18</v>
      </c>
      <c r="B38" s="15" t="s">
        <v>23</v>
      </c>
      <c r="C38" s="6">
        <v>28</v>
      </c>
      <c r="D38" s="6">
        <v>0</v>
      </c>
      <c r="E38" s="6">
        <v>131</v>
      </c>
      <c r="F38" s="38">
        <f t="shared" si="2"/>
        <v>159</v>
      </c>
      <c r="H38" s="7">
        <v>83</v>
      </c>
      <c r="I38" s="7">
        <v>0</v>
      </c>
      <c r="J38" s="7">
        <v>67.2</v>
      </c>
      <c r="K38" s="7">
        <v>67.95</v>
      </c>
      <c r="M38" s="34">
        <v>321.66667000000001</v>
      </c>
      <c r="N38" s="34">
        <v>308.78892999999999</v>
      </c>
      <c r="O38" s="34">
        <v>309.42750000000001</v>
      </c>
      <c r="Q38" s="34">
        <v>3955.8</v>
      </c>
      <c r="R38" s="34">
        <v>4667.28</v>
      </c>
      <c r="S38" s="34">
        <v>4632</v>
      </c>
    </row>
    <row r="39" spans="1:19" x14ac:dyDescent="0.35">
      <c r="A39" s="28">
        <v>19</v>
      </c>
      <c r="B39" s="15" t="s">
        <v>24</v>
      </c>
      <c r="C39" s="6">
        <v>2</v>
      </c>
      <c r="D39" s="6">
        <v>0</v>
      </c>
      <c r="E39" s="6">
        <v>106</v>
      </c>
      <c r="F39" s="38">
        <f t="shared" si="2"/>
        <v>108</v>
      </c>
      <c r="H39" s="7">
        <v>73.5</v>
      </c>
      <c r="I39" s="7">
        <v>0</v>
      </c>
      <c r="J39" s="7">
        <v>94.56</v>
      </c>
      <c r="K39" s="7">
        <v>94.13</v>
      </c>
      <c r="M39" s="59" t="s">
        <v>100</v>
      </c>
      <c r="N39" s="34">
        <v>546.76604000000009</v>
      </c>
      <c r="O39" s="34">
        <v>544.22765000000004</v>
      </c>
      <c r="Q39" s="59" t="s">
        <v>100</v>
      </c>
      <c r="R39" s="34">
        <v>5807.89</v>
      </c>
      <c r="S39" s="34">
        <v>5813.82</v>
      </c>
    </row>
    <row r="40" spans="1:19" x14ac:dyDescent="0.35">
      <c r="A40" s="28">
        <v>20</v>
      </c>
      <c r="B40" s="15" t="s">
        <v>25</v>
      </c>
      <c r="C40" s="6">
        <v>0</v>
      </c>
      <c r="D40" s="6">
        <v>0</v>
      </c>
      <c r="E40" s="6">
        <v>44</v>
      </c>
      <c r="F40" s="38">
        <f t="shared" si="2"/>
        <v>44</v>
      </c>
      <c r="H40" s="7">
        <v>0</v>
      </c>
      <c r="I40" s="7">
        <v>0</v>
      </c>
      <c r="J40" s="7">
        <v>82.63</v>
      </c>
      <c r="K40" s="7">
        <v>82.63</v>
      </c>
      <c r="M40" s="34">
        <v>0</v>
      </c>
      <c r="N40" s="34">
        <v>410.88693999999998</v>
      </c>
      <c r="O40" s="34">
        <v>410.88693999999998</v>
      </c>
      <c r="Q40" s="34">
        <v>0</v>
      </c>
      <c r="R40" s="34">
        <v>5086.72</v>
      </c>
      <c r="S40" s="34">
        <v>5086.72</v>
      </c>
    </row>
    <row r="41" spans="1:19" x14ac:dyDescent="0.35">
      <c r="A41" s="28">
        <v>21</v>
      </c>
      <c r="B41" s="15" t="s">
        <v>26</v>
      </c>
      <c r="C41" s="6">
        <v>1</v>
      </c>
      <c r="D41" s="6">
        <v>0</v>
      </c>
      <c r="E41" s="6">
        <v>26</v>
      </c>
      <c r="F41" s="38">
        <f t="shared" si="2"/>
        <v>27</v>
      </c>
      <c r="H41" s="7">
        <v>182</v>
      </c>
      <c r="I41" s="7">
        <v>0</v>
      </c>
      <c r="J41" s="7">
        <v>163.78</v>
      </c>
      <c r="K41" s="7">
        <v>164.54</v>
      </c>
      <c r="M41" s="59" t="s">
        <v>100</v>
      </c>
      <c r="N41" s="34">
        <v>1093.44328</v>
      </c>
      <c r="O41" s="34">
        <v>1098.0412699999999</v>
      </c>
      <c r="Q41" s="59" t="s">
        <v>100</v>
      </c>
      <c r="R41" s="34">
        <v>6734.19</v>
      </c>
      <c r="S41" s="34">
        <v>6724.87</v>
      </c>
    </row>
    <row r="42" spans="1:19" x14ac:dyDescent="0.35">
      <c r="A42" s="28">
        <v>22</v>
      </c>
      <c r="B42" s="15" t="s">
        <v>27</v>
      </c>
      <c r="C42" s="6">
        <v>1</v>
      </c>
      <c r="D42" s="6">
        <v>0</v>
      </c>
      <c r="E42" s="6">
        <v>8</v>
      </c>
      <c r="F42" s="38">
        <f t="shared" si="2"/>
        <v>9</v>
      </c>
      <c r="H42" s="7">
        <v>136</v>
      </c>
      <c r="I42" s="7">
        <v>0</v>
      </c>
      <c r="J42" s="7">
        <v>142.33000000000001</v>
      </c>
      <c r="K42" s="7">
        <v>141.43</v>
      </c>
      <c r="M42" s="59" t="s">
        <v>100</v>
      </c>
      <c r="N42" s="34">
        <v>695.6</v>
      </c>
      <c r="O42" s="34">
        <v>663</v>
      </c>
      <c r="Q42" s="59" t="s">
        <v>100</v>
      </c>
      <c r="R42" s="34">
        <v>4704.16</v>
      </c>
      <c r="S42" s="34">
        <v>4532.88</v>
      </c>
    </row>
    <row r="43" spans="1:19" x14ac:dyDescent="0.35">
      <c r="A43" s="28">
        <v>23</v>
      </c>
      <c r="B43" s="15" t="s">
        <v>28</v>
      </c>
      <c r="C43" s="6">
        <v>3</v>
      </c>
      <c r="D43" s="6">
        <v>0</v>
      </c>
      <c r="E43" s="6">
        <v>43</v>
      </c>
      <c r="F43" s="38">
        <f t="shared" si="2"/>
        <v>46</v>
      </c>
      <c r="H43" s="7">
        <v>194</v>
      </c>
      <c r="I43" s="7">
        <v>0</v>
      </c>
      <c r="J43" s="7">
        <v>99.54</v>
      </c>
      <c r="K43" s="7">
        <v>106.29</v>
      </c>
      <c r="M43" s="34">
        <v>1952.62</v>
      </c>
      <c r="N43" s="34">
        <v>679.11630000000002</v>
      </c>
      <c r="O43" s="34">
        <v>774.62907999999993</v>
      </c>
      <c r="Q43" s="34">
        <v>10070.01</v>
      </c>
      <c r="R43" s="34">
        <v>6809.27</v>
      </c>
      <c r="S43" s="34">
        <v>7053.83</v>
      </c>
    </row>
    <row r="44" spans="1:19" x14ac:dyDescent="0.35">
      <c r="A44" s="28">
        <v>24</v>
      </c>
      <c r="B44" s="15" t="s">
        <v>29</v>
      </c>
      <c r="C44" s="6">
        <v>0</v>
      </c>
      <c r="D44" s="6">
        <v>0</v>
      </c>
      <c r="E44" s="6">
        <v>30</v>
      </c>
      <c r="F44" s="38">
        <f t="shared" si="2"/>
        <v>30</v>
      </c>
      <c r="H44" s="7">
        <v>0</v>
      </c>
      <c r="I44" s="7">
        <v>0</v>
      </c>
      <c r="J44" s="7">
        <v>158.75</v>
      </c>
      <c r="K44" s="7">
        <v>158.75</v>
      </c>
      <c r="M44" s="34">
        <v>0</v>
      </c>
      <c r="N44" s="34">
        <v>1081.99008</v>
      </c>
      <c r="O44" s="34">
        <v>1081.99008</v>
      </c>
      <c r="Q44" s="34">
        <v>0</v>
      </c>
      <c r="R44" s="34">
        <v>6732.93</v>
      </c>
      <c r="S44" s="34">
        <v>6732.93</v>
      </c>
    </row>
    <row r="45" spans="1:19" x14ac:dyDescent="0.35">
      <c r="A45" s="28">
        <v>25</v>
      </c>
      <c r="B45" s="15" t="s">
        <v>30</v>
      </c>
      <c r="C45" s="6">
        <v>6</v>
      </c>
      <c r="D45" s="6">
        <v>0</v>
      </c>
      <c r="E45" s="6">
        <v>53</v>
      </c>
      <c r="F45" s="38">
        <f t="shared" si="2"/>
        <v>59</v>
      </c>
      <c r="H45" s="7">
        <v>109.6</v>
      </c>
      <c r="I45" s="7">
        <v>0</v>
      </c>
      <c r="J45" s="7">
        <v>117.65</v>
      </c>
      <c r="K45" s="7">
        <v>116.9</v>
      </c>
      <c r="M45" s="34">
        <v>281.00020000000001</v>
      </c>
      <c r="N45" s="34">
        <v>712.81218000000001</v>
      </c>
      <c r="O45" s="34">
        <v>672.82958999999994</v>
      </c>
      <c r="Q45" s="34">
        <v>2601.04</v>
      </c>
      <c r="R45" s="34">
        <v>6221.12</v>
      </c>
      <c r="S45" s="34">
        <v>5885.93</v>
      </c>
    </row>
    <row r="46" spans="1:19" x14ac:dyDescent="0.35">
      <c r="A46" s="28">
        <v>26</v>
      </c>
      <c r="B46" s="15" t="s">
        <v>31</v>
      </c>
      <c r="C46" s="6">
        <v>1</v>
      </c>
      <c r="D46" s="6">
        <v>0</v>
      </c>
      <c r="E46" s="6">
        <v>123</v>
      </c>
      <c r="F46" s="38">
        <f t="shared" si="2"/>
        <v>124</v>
      </c>
      <c r="H46" s="7">
        <v>0</v>
      </c>
      <c r="I46" s="7">
        <v>0</v>
      </c>
      <c r="J46" s="7">
        <v>143.99</v>
      </c>
      <c r="K46" s="7">
        <v>143.99</v>
      </c>
      <c r="M46" s="34">
        <v>0</v>
      </c>
      <c r="N46" s="34">
        <v>950.16171999999995</v>
      </c>
      <c r="O46" s="34">
        <v>950.16171999999995</v>
      </c>
      <c r="Q46" s="34">
        <v>0</v>
      </c>
      <c r="R46" s="34">
        <v>6543.34</v>
      </c>
      <c r="S46" s="34">
        <v>6543.34</v>
      </c>
    </row>
    <row r="47" spans="1:19" x14ac:dyDescent="0.35">
      <c r="A47" s="28">
        <v>27</v>
      </c>
      <c r="B47" s="15" t="s">
        <v>32</v>
      </c>
      <c r="C47" s="6">
        <v>1</v>
      </c>
      <c r="D47" s="6">
        <v>0</v>
      </c>
      <c r="E47" s="6">
        <v>67</v>
      </c>
      <c r="F47" s="38">
        <f t="shared" si="2"/>
        <v>68</v>
      </c>
      <c r="H47" s="7">
        <v>93</v>
      </c>
      <c r="I47" s="7">
        <v>0</v>
      </c>
      <c r="J47" s="7">
        <v>105.14</v>
      </c>
      <c r="K47" s="7">
        <v>104.95</v>
      </c>
      <c r="M47" s="59" t="s">
        <v>100</v>
      </c>
      <c r="N47" s="34">
        <v>573.30254000000002</v>
      </c>
      <c r="O47" s="34">
        <v>578.87138000000004</v>
      </c>
      <c r="Q47" s="59" t="s">
        <v>100</v>
      </c>
      <c r="R47" s="34">
        <v>5616.83</v>
      </c>
      <c r="S47" s="34">
        <v>5685.54</v>
      </c>
    </row>
    <row r="48" spans="1:19" x14ac:dyDescent="0.35">
      <c r="A48" s="28">
        <v>28</v>
      </c>
      <c r="B48" s="15" t="s">
        <v>33</v>
      </c>
      <c r="C48" s="6">
        <v>7</v>
      </c>
      <c r="D48" s="6">
        <v>0</v>
      </c>
      <c r="E48" s="6">
        <v>22</v>
      </c>
      <c r="F48" s="38">
        <f t="shared" si="2"/>
        <v>29</v>
      </c>
      <c r="H48" s="7">
        <v>66.5</v>
      </c>
      <c r="I48" s="7">
        <v>0</v>
      </c>
      <c r="J48" s="7">
        <v>77.7</v>
      </c>
      <c r="K48" s="7">
        <v>75.12</v>
      </c>
      <c r="M48" s="34">
        <v>234.16667000000001</v>
      </c>
      <c r="N48" s="34">
        <v>361.36841999999996</v>
      </c>
      <c r="O48" s="34">
        <v>330.84</v>
      </c>
      <c r="Q48" s="34">
        <v>3623.86</v>
      </c>
      <c r="R48" s="34">
        <v>4892.92</v>
      </c>
      <c r="S48" s="34">
        <v>4588.3500000000004</v>
      </c>
    </row>
    <row r="49" spans="1:19" x14ac:dyDescent="0.35">
      <c r="A49" s="28">
        <v>29</v>
      </c>
      <c r="B49" s="15" t="s">
        <v>34</v>
      </c>
      <c r="C49" s="6">
        <v>4</v>
      </c>
      <c r="D49" s="6">
        <v>1</v>
      </c>
      <c r="E49" s="6">
        <v>19</v>
      </c>
      <c r="F49" s="38">
        <f t="shared" si="2"/>
        <v>24</v>
      </c>
      <c r="H49" s="7">
        <v>52.75</v>
      </c>
      <c r="I49" s="7">
        <v>58</v>
      </c>
      <c r="J49" s="7">
        <v>68.760000000000005</v>
      </c>
      <c r="K49" s="7">
        <v>65.36</v>
      </c>
      <c r="M49" s="34">
        <v>196</v>
      </c>
      <c r="N49" s="34">
        <v>269</v>
      </c>
      <c r="O49" s="34">
        <v>255.09523999999999</v>
      </c>
      <c r="Q49" s="34">
        <v>3635.3</v>
      </c>
      <c r="R49" s="34">
        <v>3842.35</v>
      </c>
      <c r="S49" s="34">
        <v>3802.91</v>
      </c>
    </row>
    <row r="50" spans="1:19" x14ac:dyDescent="0.35">
      <c r="A50" s="28">
        <v>30</v>
      </c>
      <c r="B50" s="15" t="s">
        <v>35</v>
      </c>
      <c r="C50" s="6">
        <v>0</v>
      </c>
      <c r="D50" s="6">
        <v>0</v>
      </c>
      <c r="E50" s="6">
        <v>29</v>
      </c>
      <c r="F50" s="38">
        <f t="shared" si="2"/>
        <v>29</v>
      </c>
      <c r="H50" s="7">
        <v>0</v>
      </c>
      <c r="I50" s="7">
        <v>0</v>
      </c>
      <c r="J50" s="7">
        <v>84</v>
      </c>
      <c r="K50" s="7">
        <v>84</v>
      </c>
      <c r="M50" s="34">
        <v>0</v>
      </c>
      <c r="N50" s="34">
        <v>388.57860999999997</v>
      </c>
      <c r="O50" s="34">
        <v>388.57860999999997</v>
      </c>
      <c r="Q50" s="34">
        <v>0</v>
      </c>
      <c r="R50" s="34">
        <v>4497.6400000000003</v>
      </c>
      <c r="S50" s="34">
        <v>4497.6400000000003</v>
      </c>
    </row>
    <row r="51" spans="1:19" x14ac:dyDescent="0.35">
      <c r="A51" s="28">
        <v>31</v>
      </c>
      <c r="B51" s="15" t="s">
        <v>36</v>
      </c>
      <c r="C51" s="6">
        <v>3</v>
      </c>
      <c r="D51" s="6">
        <v>0</v>
      </c>
      <c r="E51" s="6">
        <v>145</v>
      </c>
      <c r="F51" s="38">
        <f t="shared" si="2"/>
        <v>148</v>
      </c>
      <c r="H51" s="7">
        <v>52</v>
      </c>
      <c r="I51" s="7">
        <v>0</v>
      </c>
      <c r="J51" s="7">
        <v>75.42</v>
      </c>
      <c r="K51" s="7">
        <v>75.25</v>
      </c>
      <c r="M51" s="34">
        <v>370.00099999999998</v>
      </c>
      <c r="N51" s="34">
        <v>406.90546999999998</v>
      </c>
      <c r="O51" s="34">
        <v>406.62589000000003</v>
      </c>
      <c r="Q51" s="34">
        <v>7115.4</v>
      </c>
      <c r="R51" s="34">
        <v>5618.35</v>
      </c>
      <c r="S51" s="34">
        <v>5629.69</v>
      </c>
    </row>
    <row r="52" spans="1:19" x14ac:dyDescent="0.35">
      <c r="A52" s="28">
        <v>32</v>
      </c>
      <c r="B52" s="15" t="s">
        <v>37</v>
      </c>
      <c r="C52" s="6">
        <v>1</v>
      </c>
      <c r="D52" s="6">
        <v>0</v>
      </c>
      <c r="E52" s="6">
        <v>84</v>
      </c>
      <c r="F52" s="38">
        <f t="shared" si="2"/>
        <v>85</v>
      </c>
      <c r="H52" s="7">
        <v>68</v>
      </c>
      <c r="I52" s="7">
        <v>0</v>
      </c>
      <c r="J52" s="7">
        <v>78.67</v>
      </c>
      <c r="K52" s="7">
        <v>78.53</v>
      </c>
      <c r="M52" s="59" t="s">
        <v>100</v>
      </c>
      <c r="N52" s="34">
        <v>398.42484999999999</v>
      </c>
      <c r="O52" s="34">
        <v>398.17245000000003</v>
      </c>
      <c r="Q52" s="59" t="s">
        <v>100</v>
      </c>
      <c r="R52" s="34">
        <v>5108.96</v>
      </c>
      <c r="S52" s="34">
        <v>5115.53</v>
      </c>
    </row>
    <row r="53" spans="1:19" x14ac:dyDescent="0.35">
      <c r="A53" s="28">
        <v>33</v>
      </c>
      <c r="B53" s="15" t="s">
        <v>38</v>
      </c>
      <c r="C53" s="6">
        <v>1</v>
      </c>
      <c r="D53" s="6">
        <v>0</v>
      </c>
      <c r="E53" s="6">
        <v>50</v>
      </c>
      <c r="F53" s="38">
        <f t="shared" si="2"/>
        <v>51</v>
      </c>
      <c r="H53" s="7">
        <v>59</v>
      </c>
      <c r="I53" s="7">
        <v>0</v>
      </c>
      <c r="J53" s="7">
        <v>69.569999999999993</v>
      </c>
      <c r="K53" s="7">
        <v>69.36</v>
      </c>
      <c r="M53" s="59" t="s">
        <v>100</v>
      </c>
      <c r="N53" s="34">
        <v>304.32778000000002</v>
      </c>
      <c r="O53" s="34">
        <v>303.84121999999996</v>
      </c>
      <c r="Q53" s="59" t="s">
        <v>100</v>
      </c>
      <c r="R53" s="34">
        <v>4301.2299999999996</v>
      </c>
      <c r="S53" s="34">
        <v>4310.12</v>
      </c>
    </row>
    <row r="54" spans="1:19" x14ac:dyDescent="0.35">
      <c r="A54" s="28">
        <v>34</v>
      </c>
      <c r="B54" s="15" t="s">
        <v>39</v>
      </c>
      <c r="C54" s="6">
        <v>0</v>
      </c>
      <c r="D54" s="6">
        <v>0</v>
      </c>
      <c r="E54" s="6">
        <v>22</v>
      </c>
      <c r="F54" s="38">
        <f t="shared" si="2"/>
        <v>22</v>
      </c>
      <c r="H54" s="7">
        <v>0</v>
      </c>
      <c r="I54" s="7">
        <v>0</v>
      </c>
      <c r="J54" s="7">
        <v>69.95</v>
      </c>
      <c r="K54" s="7">
        <v>69.95</v>
      </c>
      <c r="M54" s="34">
        <v>0</v>
      </c>
      <c r="N54" s="34">
        <v>235.65495000000001</v>
      </c>
      <c r="O54" s="34">
        <v>235.65495000000001</v>
      </c>
      <c r="Q54" s="34">
        <v>0</v>
      </c>
      <c r="R54" s="34">
        <v>3151.67</v>
      </c>
      <c r="S54" s="34">
        <v>3151.67</v>
      </c>
    </row>
    <row r="55" spans="1:19" x14ac:dyDescent="0.35">
      <c r="A55" s="28">
        <v>35</v>
      </c>
      <c r="B55" s="15" t="s">
        <v>40</v>
      </c>
      <c r="C55" s="6">
        <v>14</v>
      </c>
      <c r="D55" s="6">
        <v>0</v>
      </c>
      <c r="E55" s="6">
        <v>83</v>
      </c>
      <c r="F55" s="38">
        <f t="shared" si="2"/>
        <v>97</v>
      </c>
      <c r="H55" s="7">
        <v>66.62</v>
      </c>
      <c r="I55" s="7">
        <v>0</v>
      </c>
      <c r="J55" s="7">
        <v>72.73</v>
      </c>
      <c r="K55" s="7">
        <v>71.83</v>
      </c>
      <c r="M55" s="34">
        <v>376.73077000000001</v>
      </c>
      <c r="N55" s="34">
        <v>255.08520000000001</v>
      </c>
      <c r="O55" s="34">
        <v>273.05556999999999</v>
      </c>
      <c r="Q55" s="34">
        <v>5856.38</v>
      </c>
      <c r="R55" s="34">
        <v>3786.53</v>
      </c>
      <c r="S55" s="34">
        <v>4092.3</v>
      </c>
    </row>
    <row r="56" spans="1:19" x14ac:dyDescent="0.35">
      <c r="A56" s="28">
        <v>36</v>
      </c>
      <c r="B56" s="15" t="s">
        <v>41</v>
      </c>
      <c r="C56" s="6">
        <v>10</v>
      </c>
      <c r="D56" s="6">
        <v>0</v>
      </c>
      <c r="E56" s="6">
        <v>10</v>
      </c>
      <c r="F56" s="38">
        <f t="shared" si="2"/>
        <v>20</v>
      </c>
      <c r="H56" s="7">
        <v>109.3</v>
      </c>
      <c r="I56" s="7">
        <v>0</v>
      </c>
      <c r="J56" s="7">
        <v>112.7</v>
      </c>
      <c r="K56" s="7">
        <v>111</v>
      </c>
      <c r="M56" s="34">
        <v>459.3</v>
      </c>
      <c r="N56" s="34">
        <v>458.4</v>
      </c>
      <c r="O56" s="34">
        <v>458.85</v>
      </c>
      <c r="Q56" s="34">
        <v>4723.87</v>
      </c>
      <c r="R56" s="34">
        <v>4093.33</v>
      </c>
      <c r="S56" s="34">
        <v>4408.6000000000004</v>
      </c>
    </row>
    <row r="57" spans="1:19" x14ac:dyDescent="0.35">
      <c r="A57" s="28">
        <v>37</v>
      </c>
      <c r="B57" s="15" t="s">
        <v>42</v>
      </c>
      <c r="C57" s="6">
        <v>17</v>
      </c>
      <c r="D57" s="6">
        <v>0</v>
      </c>
      <c r="E57" s="6">
        <v>77</v>
      </c>
      <c r="F57" s="38">
        <f t="shared" si="2"/>
        <v>94</v>
      </c>
      <c r="H57" s="7">
        <v>64.38</v>
      </c>
      <c r="I57" s="7">
        <v>0</v>
      </c>
      <c r="J57" s="7">
        <v>64.83</v>
      </c>
      <c r="K57" s="7">
        <v>64.75</v>
      </c>
      <c r="M57" s="34">
        <v>210.32749999999999</v>
      </c>
      <c r="N57" s="34">
        <v>181.61596</v>
      </c>
      <c r="O57" s="34">
        <v>187.02049</v>
      </c>
      <c r="Q57" s="34">
        <v>3209.3</v>
      </c>
      <c r="R57" s="34">
        <v>2818.78</v>
      </c>
      <c r="S57" s="34">
        <v>2892.29</v>
      </c>
    </row>
    <row r="58" spans="1:19" x14ac:dyDescent="0.35">
      <c r="A58" s="28">
        <v>38</v>
      </c>
      <c r="B58" s="15" t="s">
        <v>43</v>
      </c>
      <c r="C58" s="6">
        <v>7</v>
      </c>
      <c r="D58" s="6">
        <v>0</v>
      </c>
      <c r="E58" s="6">
        <v>22</v>
      </c>
      <c r="F58" s="38">
        <f t="shared" si="2"/>
        <v>29</v>
      </c>
      <c r="H58" s="7">
        <v>55.43</v>
      </c>
      <c r="I58" s="7">
        <v>0</v>
      </c>
      <c r="J58" s="7">
        <v>61.27</v>
      </c>
      <c r="K58" s="7">
        <v>59.86</v>
      </c>
      <c r="M58" s="34">
        <v>152.28570999999999</v>
      </c>
      <c r="N58" s="34">
        <v>206.29414000000003</v>
      </c>
      <c r="O58" s="34">
        <v>193.25762</v>
      </c>
      <c r="Q58" s="34">
        <v>2908.35</v>
      </c>
      <c r="R58" s="34">
        <v>3345.89</v>
      </c>
      <c r="S58" s="34">
        <v>3240.28</v>
      </c>
    </row>
    <row r="59" spans="1:19" x14ac:dyDescent="0.35">
      <c r="A59" s="28">
        <v>39</v>
      </c>
      <c r="B59" s="15" t="s">
        <v>44</v>
      </c>
      <c r="C59" s="6">
        <v>5</v>
      </c>
      <c r="D59" s="6">
        <v>0</v>
      </c>
      <c r="E59" s="6">
        <v>17</v>
      </c>
      <c r="F59" s="38">
        <f t="shared" si="2"/>
        <v>22</v>
      </c>
      <c r="H59" s="7">
        <v>64.8</v>
      </c>
      <c r="I59" s="7">
        <v>0</v>
      </c>
      <c r="J59" s="7">
        <v>66.709999999999994</v>
      </c>
      <c r="K59" s="7">
        <v>66.28</v>
      </c>
      <c r="M59" s="34">
        <v>121.6</v>
      </c>
      <c r="N59" s="34">
        <v>178.28125</v>
      </c>
      <c r="O59" s="34">
        <v>164.78570999999999</v>
      </c>
      <c r="Q59" s="34">
        <v>1876.26</v>
      </c>
      <c r="R59" s="34">
        <v>2658.04</v>
      </c>
      <c r="S59" s="34">
        <v>2471.9</v>
      </c>
    </row>
    <row r="60" spans="1:19" x14ac:dyDescent="0.35">
      <c r="A60" s="28">
        <v>40</v>
      </c>
      <c r="B60" s="15" t="s">
        <v>45</v>
      </c>
      <c r="C60" s="6">
        <v>3</v>
      </c>
      <c r="D60" s="6">
        <v>0</v>
      </c>
      <c r="E60" s="6">
        <v>9</v>
      </c>
      <c r="F60" s="38">
        <f t="shared" si="2"/>
        <v>12</v>
      </c>
      <c r="H60" s="7">
        <v>74.5</v>
      </c>
      <c r="I60" s="7">
        <v>0</v>
      </c>
      <c r="J60" s="7">
        <v>66.63</v>
      </c>
      <c r="K60" s="7">
        <v>68.2</v>
      </c>
      <c r="M60" s="34">
        <v>162.55000000000001</v>
      </c>
      <c r="N60" s="34">
        <v>221.42857000000001</v>
      </c>
      <c r="O60" s="34">
        <v>208.34443999999999</v>
      </c>
      <c r="Q60" s="34">
        <v>2489.16</v>
      </c>
      <c r="R60" s="34">
        <v>3484.88</v>
      </c>
      <c r="S60" s="34">
        <v>3263.61</v>
      </c>
    </row>
    <row r="61" spans="1:19" x14ac:dyDescent="0.35">
      <c r="A61" s="28">
        <v>41</v>
      </c>
      <c r="B61" s="15" t="s">
        <v>46</v>
      </c>
      <c r="C61" s="6">
        <v>1</v>
      </c>
      <c r="D61" s="6">
        <v>1</v>
      </c>
      <c r="E61" s="6">
        <v>4</v>
      </c>
      <c r="F61" s="38">
        <f t="shared" si="2"/>
        <v>6</v>
      </c>
      <c r="H61" s="7">
        <v>49</v>
      </c>
      <c r="I61" s="7">
        <v>64</v>
      </c>
      <c r="J61" s="7">
        <v>80.5</v>
      </c>
      <c r="K61" s="7">
        <v>72.5</v>
      </c>
      <c r="M61" s="59" t="s">
        <v>100</v>
      </c>
      <c r="N61" s="34">
        <v>352.5</v>
      </c>
      <c r="O61" s="34">
        <v>345</v>
      </c>
      <c r="Q61" s="59" t="s">
        <v>100</v>
      </c>
      <c r="R61" s="34">
        <v>4494.5600000000004</v>
      </c>
      <c r="S61" s="34">
        <v>4881.3599999999997</v>
      </c>
    </row>
    <row r="62" spans="1:19" x14ac:dyDescent="0.35">
      <c r="A62" s="28">
        <v>42</v>
      </c>
      <c r="B62" s="15" t="s">
        <v>47</v>
      </c>
      <c r="C62" s="6">
        <v>6</v>
      </c>
      <c r="D62" s="6">
        <v>0</v>
      </c>
      <c r="E62" s="6">
        <v>1</v>
      </c>
      <c r="F62" s="38">
        <f t="shared" si="2"/>
        <v>7</v>
      </c>
      <c r="H62" s="7">
        <v>98.5</v>
      </c>
      <c r="I62" s="7">
        <v>0</v>
      </c>
      <c r="J62" s="7">
        <v>112</v>
      </c>
      <c r="K62" s="7">
        <v>100.43</v>
      </c>
      <c r="M62" s="34">
        <v>436.5</v>
      </c>
      <c r="N62" s="34">
        <v>560</v>
      </c>
      <c r="O62" s="34">
        <v>454.14285999999998</v>
      </c>
      <c r="Q62" s="34">
        <v>4470.2</v>
      </c>
      <c r="R62" s="34">
        <v>5000</v>
      </c>
      <c r="S62" s="34">
        <v>4545.8900000000003</v>
      </c>
    </row>
    <row r="63" spans="1:19" x14ac:dyDescent="0.35">
      <c r="A63" s="28">
        <v>43</v>
      </c>
      <c r="B63" s="15" t="s">
        <v>48</v>
      </c>
      <c r="C63" s="6">
        <v>19</v>
      </c>
      <c r="D63" s="6">
        <v>1</v>
      </c>
      <c r="E63" s="6">
        <v>44</v>
      </c>
      <c r="F63" s="38">
        <f t="shared" si="2"/>
        <v>64</v>
      </c>
      <c r="H63" s="7">
        <v>64.89</v>
      </c>
      <c r="I63" s="7">
        <v>63</v>
      </c>
      <c r="J63" s="7">
        <v>70.36</v>
      </c>
      <c r="K63" s="7">
        <v>68.56</v>
      </c>
      <c r="M63" s="34">
        <v>234.59263000000001</v>
      </c>
      <c r="N63" s="34">
        <v>311.39999999999998</v>
      </c>
      <c r="O63" s="34">
        <v>284.86653999999999</v>
      </c>
      <c r="Q63" s="34">
        <v>3652.63</v>
      </c>
      <c r="R63" s="34">
        <v>4073.34</v>
      </c>
      <c r="S63" s="34">
        <v>3928</v>
      </c>
    </row>
    <row r="64" spans="1:19" x14ac:dyDescent="0.35">
      <c r="A64" s="28">
        <v>44</v>
      </c>
      <c r="B64" s="15" t="s">
        <v>49</v>
      </c>
      <c r="C64" s="6">
        <v>0</v>
      </c>
      <c r="D64" s="6">
        <v>0</v>
      </c>
      <c r="E64" s="6">
        <v>45</v>
      </c>
      <c r="F64" s="38">
        <f t="shared" si="2"/>
        <v>45</v>
      </c>
      <c r="H64" s="7">
        <v>0</v>
      </c>
      <c r="I64" s="7">
        <v>0</v>
      </c>
      <c r="J64" s="7">
        <v>72.290000000000006</v>
      </c>
      <c r="K64" s="7">
        <v>72.290000000000006</v>
      </c>
      <c r="M64" s="34">
        <v>0</v>
      </c>
      <c r="N64" s="34">
        <v>252.82772</v>
      </c>
      <c r="O64" s="34">
        <v>252.82772</v>
      </c>
      <c r="Q64" s="34">
        <v>0</v>
      </c>
      <c r="R64" s="34">
        <v>3599.27</v>
      </c>
      <c r="S64" s="34">
        <v>3599.27</v>
      </c>
    </row>
    <row r="65" spans="1:19" x14ac:dyDescent="0.35">
      <c r="A65" s="28">
        <v>45</v>
      </c>
      <c r="B65" s="15" t="s">
        <v>50</v>
      </c>
      <c r="C65" s="6">
        <v>0</v>
      </c>
      <c r="D65" s="6">
        <v>0</v>
      </c>
      <c r="E65" s="6">
        <v>60</v>
      </c>
      <c r="F65" s="38">
        <f t="shared" si="2"/>
        <v>60</v>
      </c>
      <c r="H65" s="7">
        <v>0</v>
      </c>
      <c r="I65" s="7">
        <v>0</v>
      </c>
      <c r="J65" s="7">
        <v>66.63</v>
      </c>
      <c r="K65" s="7">
        <v>66.63</v>
      </c>
      <c r="M65" s="34">
        <v>0</v>
      </c>
      <c r="N65" s="34">
        <v>231.32666</v>
      </c>
      <c r="O65" s="34">
        <v>231.32666</v>
      </c>
      <c r="Q65" s="34">
        <v>0</v>
      </c>
      <c r="R65" s="34">
        <v>3537.06</v>
      </c>
      <c r="S65" s="34">
        <v>3537.06</v>
      </c>
    </row>
    <row r="66" spans="1:19" x14ac:dyDescent="0.35">
      <c r="A66" s="28">
        <v>46</v>
      </c>
      <c r="B66" s="15" t="s">
        <v>51</v>
      </c>
      <c r="C66" s="6">
        <v>0</v>
      </c>
      <c r="D66" s="6">
        <v>0</v>
      </c>
      <c r="E66" s="6">
        <v>57</v>
      </c>
      <c r="F66" s="38">
        <f t="shared" si="2"/>
        <v>57</v>
      </c>
      <c r="H66" s="7">
        <v>0</v>
      </c>
      <c r="I66" s="7">
        <v>0</v>
      </c>
      <c r="J66" s="7">
        <v>63.98</v>
      </c>
      <c r="K66" s="7">
        <v>63.98</v>
      </c>
      <c r="M66" s="34">
        <v>0</v>
      </c>
      <c r="N66" s="34">
        <v>168.13333</v>
      </c>
      <c r="O66" s="34">
        <v>168.13333</v>
      </c>
      <c r="Q66" s="34">
        <v>0</v>
      </c>
      <c r="R66" s="34">
        <v>2584.1799999999998</v>
      </c>
      <c r="S66" s="34">
        <v>2584.1799999999998</v>
      </c>
    </row>
    <row r="67" spans="1:19" x14ac:dyDescent="0.35">
      <c r="A67" s="28">
        <v>47</v>
      </c>
      <c r="B67" s="15" t="s">
        <v>52</v>
      </c>
      <c r="C67" s="6">
        <v>0</v>
      </c>
      <c r="D67" s="6">
        <v>0</v>
      </c>
      <c r="E67" s="6">
        <v>1</v>
      </c>
      <c r="F67" s="38">
        <f t="shared" si="2"/>
        <v>1</v>
      </c>
      <c r="H67" s="7">
        <v>0</v>
      </c>
      <c r="I67" s="7">
        <v>0</v>
      </c>
      <c r="J67" s="7">
        <v>78</v>
      </c>
      <c r="K67" s="7">
        <v>78</v>
      </c>
      <c r="M67" s="34">
        <v>0</v>
      </c>
      <c r="N67" s="34">
        <v>324</v>
      </c>
      <c r="O67" s="34">
        <v>324</v>
      </c>
      <c r="Q67" s="34">
        <v>0</v>
      </c>
      <c r="R67" s="34">
        <v>4153.8500000000004</v>
      </c>
      <c r="S67" s="34">
        <v>4153.8500000000004</v>
      </c>
    </row>
    <row r="68" spans="1:19" x14ac:dyDescent="0.35">
      <c r="A68" s="28">
        <v>48</v>
      </c>
      <c r="B68" s="15" t="s">
        <v>53</v>
      </c>
      <c r="C68" s="6">
        <v>0</v>
      </c>
      <c r="D68" s="6">
        <v>0</v>
      </c>
      <c r="E68" s="6">
        <v>22</v>
      </c>
      <c r="F68" s="38">
        <f t="shared" si="2"/>
        <v>22</v>
      </c>
      <c r="H68" s="7">
        <v>0</v>
      </c>
      <c r="I68" s="7">
        <v>0</v>
      </c>
      <c r="J68" s="7">
        <v>69.099999999999994</v>
      </c>
      <c r="K68" s="7">
        <v>69.099999999999994</v>
      </c>
      <c r="M68" s="34">
        <v>0</v>
      </c>
      <c r="N68" s="34">
        <v>231.8125</v>
      </c>
      <c r="O68" s="34">
        <v>231.8125</v>
      </c>
      <c r="Q68" s="34">
        <v>0</v>
      </c>
      <c r="R68" s="34">
        <v>3363.31</v>
      </c>
      <c r="S68" s="34">
        <v>3363.31</v>
      </c>
    </row>
    <row r="69" spans="1:19" x14ac:dyDescent="0.35">
      <c r="A69" s="28">
        <v>49</v>
      </c>
      <c r="B69" s="15" t="s">
        <v>54</v>
      </c>
      <c r="C69" s="6">
        <v>0</v>
      </c>
      <c r="D69" s="6">
        <v>0</v>
      </c>
      <c r="E69" s="6">
        <v>8</v>
      </c>
      <c r="F69" s="38">
        <f t="shared" si="2"/>
        <v>8</v>
      </c>
      <c r="H69" s="7">
        <v>0</v>
      </c>
      <c r="I69" s="7">
        <v>0</v>
      </c>
      <c r="J69" s="7">
        <v>70.86</v>
      </c>
      <c r="K69" s="7">
        <v>70.86</v>
      </c>
      <c r="M69" s="34">
        <v>0</v>
      </c>
      <c r="N69" s="34">
        <v>207.5</v>
      </c>
      <c r="O69" s="34">
        <v>207.5</v>
      </c>
      <c r="Q69" s="34">
        <v>0</v>
      </c>
      <c r="R69" s="34">
        <v>3007.25</v>
      </c>
      <c r="S69" s="34">
        <v>3007.25</v>
      </c>
    </row>
    <row r="70" spans="1:19" x14ac:dyDescent="0.35">
      <c r="A70" s="28">
        <v>50</v>
      </c>
      <c r="B70" s="15" t="s">
        <v>55</v>
      </c>
      <c r="C70" s="6">
        <v>0</v>
      </c>
      <c r="D70" s="6">
        <v>0</v>
      </c>
      <c r="E70" s="6">
        <v>69</v>
      </c>
      <c r="F70" s="38">
        <f t="shared" si="2"/>
        <v>69</v>
      </c>
      <c r="H70" s="7">
        <v>0</v>
      </c>
      <c r="I70" s="7">
        <v>0</v>
      </c>
      <c r="J70" s="7">
        <v>62.87</v>
      </c>
      <c r="K70" s="7">
        <v>62.87</v>
      </c>
      <c r="M70" s="34">
        <v>0</v>
      </c>
      <c r="N70" s="34">
        <v>129.63102000000001</v>
      </c>
      <c r="O70" s="34">
        <v>129.63102000000001</v>
      </c>
      <c r="Q70" s="34">
        <v>0</v>
      </c>
      <c r="R70" s="34">
        <v>2277.9499999999998</v>
      </c>
      <c r="S70" s="34">
        <v>2277.9499999999998</v>
      </c>
    </row>
    <row r="71" spans="1:19" x14ac:dyDescent="0.35">
      <c r="A71" s="28">
        <v>51</v>
      </c>
      <c r="B71" s="15" t="s">
        <v>56</v>
      </c>
      <c r="C71" s="6">
        <v>0</v>
      </c>
      <c r="D71" s="6">
        <v>0</v>
      </c>
      <c r="E71" s="6">
        <v>34</v>
      </c>
      <c r="F71" s="38">
        <f t="shared" si="2"/>
        <v>34</v>
      </c>
      <c r="H71" s="7">
        <v>0</v>
      </c>
      <c r="I71" s="7">
        <v>0</v>
      </c>
      <c r="J71" s="7">
        <v>56.4</v>
      </c>
      <c r="K71" s="7">
        <v>56.4</v>
      </c>
      <c r="M71" s="34">
        <v>0</v>
      </c>
      <c r="N71" s="34">
        <v>151.26025000000001</v>
      </c>
      <c r="O71" s="34">
        <v>151.26025000000001</v>
      </c>
      <c r="Q71" s="34">
        <v>0</v>
      </c>
      <c r="R71" s="34">
        <v>2633.35</v>
      </c>
      <c r="S71" s="34">
        <v>2633.35</v>
      </c>
    </row>
    <row r="72" spans="1:19" x14ac:dyDescent="0.35">
      <c r="A72" s="28">
        <v>52</v>
      </c>
      <c r="B72" s="15" t="s">
        <v>57</v>
      </c>
      <c r="C72" s="6">
        <v>1</v>
      </c>
      <c r="D72" s="6">
        <v>0</v>
      </c>
      <c r="E72" s="6">
        <v>75</v>
      </c>
      <c r="F72" s="38">
        <f t="shared" si="2"/>
        <v>76</v>
      </c>
      <c r="H72" s="7">
        <v>58</v>
      </c>
      <c r="I72" s="7">
        <v>0</v>
      </c>
      <c r="J72" s="7">
        <v>62.55</v>
      </c>
      <c r="K72" s="7">
        <v>62.49</v>
      </c>
      <c r="M72" s="59" t="s">
        <v>100</v>
      </c>
      <c r="N72" s="34">
        <v>194.79214000000002</v>
      </c>
      <c r="O72" s="34">
        <v>195.81368000000001</v>
      </c>
      <c r="Q72" s="59" t="s">
        <v>100</v>
      </c>
      <c r="R72" s="34">
        <v>3206.43</v>
      </c>
      <c r="S72" s="34">
        <v>3226.21</v>
      </c>
    </row>
    <row r="73" spans="1:19" x14ac:dyDescent="0.35">
      <c r="A73" s="28">
        <v>53</v>
      </c>
      <c r="B73" s="15" t="s">
        <v>58</v>
      </c>
      <c r="C73" s="6">
        <v>0</v>
      </c>
      <c r="D73" s="6">
        <v>0</v>
      </c>
      <c r="E73" s="6">
        <v>22</v>
      </c>
      <c r="F73" s="38">
        <f t="shared" si="2"/>
        <v>22</v>
      </c>
      <c r="H73" s="7">
        <v>0</v>
      </c>
      <c r="I73" s="7">
        <v>0</v>
      </c>
      <c r="J73" s="7">
        <v>61.25</v>
      </c>
      <c r="K73" s="7">
        <v>61.25</v>
      </c>
      <c r="M73" s="34">
        <v>0</v>
      </c>
      <c r="N73" s="34">
        <v>132.83790999999999</v>
      </c>
      <c r="O73" s="34">
        <v>132.83790999999999</v>
      </c>
      <c r="Q73" s="34">
        <v>0</v>
      </c>
      <c r="R73" s="34">
        <v>2208.84</v>
      </c>
      <c r="S73" s="34">
        <v>2208.84</v>
      </c>
    </row>
    <row r="74" spans="1:19" x14ac:dyDescent="0.35">
      <c r="A74" s="28">
        <v>54</v>
      </c>
      <c r="B74" s="15" t="s">
        <v>59</v>
      </c>
      <c r="C74" s="6">
        <v>0</v>
      </c>
      <c r="D74" s="6">
        <v>0</v>
      </c>
      <c r="E74" s="6">
        <v>5</v>
      </c>
      <c r="F74" s="38">
        <f t="shared" si="2"/>
        <v>5</v>
      </c>
      <c r="H74" s="7">
        <v>0</v>
      </c>
      <c r="I74" s="7">
        <v>0</v>
      </c>
      <c r="J74" s="7">
        <v>69.25</v>
      </c>
      <c r="K74" s="7">
        <v>69.25</v>
      </c>
      <c r="M74" s="34">
        <v>0</v>
      </c>
      <c r="N74" s="34">
        <v>123.71313000000001</v>
      </c>
      <c r="O74" s="34">
        <v>123.71313000000001</v>
      </c>
      <c r="Q74" s="34">
        <v>0</v>
      </c>
      <c r="R74" s="34">
        <v>2027.55</v>
      </c>
      <c r="S74" s="34">
        <v>2027.55</v>
      </c>
    </row>
    <row r="75" spans="1:19" x14ac:dyDescent="0.35">
      <c r="A75" s="28">
        <v>55</v>
      </c>
      <c r="B75" s="15" t="s">
        <v>60</v>
      </c>
      <c r="C75" s="6">
        <v>0</v>
      </c>
      <c r="D75" s="6">
        <v>0</v>
      </c>
      <c r="E75" s="6">
        <v>56</v>
      </c>
      <c r="F75" s="38">
        <f t="shared" si="2"/>
        <v>56</v>
      </c>
      <c r="H75" s="7">
        <v>0</v>
      </c>
      <c r="I75" s="7">
        <v>0</v>
      </c>
      <c r="J75" s="7">
        <v>61.15</v>
      </c>
      <c r="K75" s="7">
        <v>61.15</v>
      </c>
      <c r="M75" s="34">
        <v>0</v>
      </c>
      <c r="N75" s="34">
        <v>106.1037</v>
      </c>
      <c r="O75" s="34">
        <v>106.1037</v>
      </c>
      <c r="Q75" s="34">
        <v>0</v>
      </c>
      <c r="R75" s="34">
        <v>1772.25</v>
      </c>
      <c r="S75" s="34">
        <v>1772.25</v>
      </c>
    </row>
    <row r="76" spans="1:19" x14ac:dyDescent="0.35">
      <c r="A76" s="28">
        <v>56</v>
      </c>
      <c r="B76" s="15" t="s">
        <v>78</v>
      </c>
      <c r="C76" s="6">
        <v>0</v>
      </c>
      <c r="D76" s="6">
        <v>0</v>
      </c>
      <c r="E76" s="6">
        <v>3</v>
      </c>
      <c r="F76" s="38">
        <f t="shared" si="2"/>
        <v>3</v>
      </c>
      <c r="H76" s="7">
        <v>0</v>
      </c>
      <c r="I76" s="7">
        <v>0</v>
      </c>
      <c r="J76" s="7">
        <v>82.5</v>
      </c>
      <c r="K76" s="7">
        <v>82.5</v>
      </c>
      <c r="M76" s="34">
        <v>0</v>
      </c>
      <c r="N76" s="34">
        <v>218.75</v>
      </c>
      <c r="O76" s="34">
        <v>218.75</v>
      </c>
      <c r="Q76" s="34">
        <v>0</v>
      </c>
      <c r="R76" s="34">
        <v>2605.56</v>
      </c>
      <c r="S76" s="34">
        <v>2605.56</v>
      </c>
    </row>
    <row r="77" spans="1:19" x14ac:dyDescent="0.35">
      <c r="A77" s="28">
        <v>57</v>
      </c>
      <c r="B77" s="15" t="s">
        <v>61</v>
      </c>
      <c r="C77" s="6">
        <v>0</v>
      </c>
      <c r="D77" s="6">
        <v>0</v>
      </c>
      <c r="E77" s="6">
        <v>43</v>
      </c>
      <c r="F77" s="38">
        <f t="shared" si="2"/>
        <v>43</v>
      </c>
      <c r="H77" s="7">
        <v>0</v>
      </c>
      <c r="I77" s="7">
        <v>0</v>
      </c>
      <c r="J77" s="7">
        <v>58.66</v>
      </c>
      <c r="K77" s="7">
        <v>58.66</v>
      </c>
      <c r="M77" s="34">
        <v>0</v>
      </c>
      <c r="N77" s="34">
        <v>130.90275</v>
      </c>
      <c r="O77" s="34">
        <v>130.90275</v>
      </c>
      <c r="Q77" s="34">
        <v>0</v>
      </c>
      <c r="R77" s="34">
        <v>2315.4</v>
      </c>
      <c r="S77" s="34">
        <v>2315.4</v>
      </c>
    </row>
    <row r="78" spans="1:19" x14ac:dyDescent="0.35">
      <c r="A78" s="28">
        <v>58</v>
      </c>
      <c r="B78" s="15" t="s">
        <v>62</v>
      </c>
      <c r="C78" s="6">
        <v>0</v>
      </c>
      <c r="D78" s="6">
        <v>0</v>
      </c>
      <c r="E78" s="6">
        <v>8</v>
      </c>
      <c r="F78" s="38">
        <f t="shared" si="2"/>
        <v>8</v>
      </c>
      <c r="H78" s="7">
        <v>0</v>
      </c>
      <c r="I78" s="7">
        <v>0</v>
      </c>
      <c r="J78" s="7">
        <v>69</v>
      </c>
      <c r="K78" s="7">
        <v>69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</row>
    <row r="79" spans="1:19" x14ac:dyDescent="0.35">
      <c r="A79" s="28">
        <v>59</v>
      </c>
      <c r="B79" s="15" t="s">
        <v>63</v>
      </c>
      <c r="C79" s="6">
        <v>1</v>
      </c>
      <c r="D79" s="6">
        <v>0</v>
      </c>
      <c r="E79" s="6">
        <v>38</v>
      </c>
      <c r="F79" s="38">
        <f t="shared" si="2"/>
        <v>39</v>
      </c>
      <c r="H79" s="7">
        <v>90</v>
      </c>
      <c r="I79" s="7">
        <v>0</v>
      </c>
      <c r="J79" s="7">
        <v>70.08</v>
      </c>
      <c r="K79" s="7">
        <v>70.62</v>
      </c>
      <c r="M79" s="59" t="s">
        <v>100</v>
      </c>
      <c r="N79" s="34">
        <v>169.57845999999998</v>
      </c>
      <c r="O79" s="34">
        <v>167.71732</v>
      </c>
      <c r="Q79" s="59" t="s">
        <v>100</v>
      </c>
      <c r="R79" s="34">
        <v>2393.9499999999998</v>
      </c>
      <c r="S79" s="34">
        <v>2357.8200000000002</v>
      </c>
    </row>
    <row r="80" spans="1:19" x14ac:dyDescent="0.35">
      <c r="A80" s="28">
        <v>60</v>
      </c>
      <c r="B80" s="15" t="s">
        <v>64</v>
      </c>
      <c r="C80" s="6">
        <v>5</v>
      </c>
      <c r="D80" s="6">
        <v>0</v>
      </c>
      <c r="E80" s="6">
        <v>121</v>
      </c>
      <c r="F80" s="38">
        <f t="shared" si="2"/>
        <v>126</v>
      </c>
      <c r="H80" s="7">
        <v>81.2</v>
      </c>
      <c r="I80" s="7">
        <v>0</v>
      </c>
      <c r="J80" s="7">
        <v>77.37</v>
      </c>
      <c r="K80" s="7">
        <v>77.53</v>
      </c>
      <c r="M80" s="34">
        <v>421.84</v>
      </c>
      <c r="N80" s="34">
        <v>285.14301</v>
      </c>
      <c r="O80" s="34">
        <v>291.13848999999999</v>
      </c>
      <c r="Q80" s="34">
        <v>5357.21</v>
      </c>
      <c r="R80" s="34">
        <v>3862.72</v>
      </c>
      <c r="S80" s="34">
        <v>3928.27</v>
      </c>
    </row>
    <row r="81" spans="1:19" x14ac:dyDescent="0.35">
      <c r="A81" s="28">
        <v>61</v>
      </c>
      <c r="B81" s="15" t="s">
        <v>65</v>
      </c>
      <c r="C81" s="6">
        <v>30</v>
      </c>
      <c r="D81" s="6">
        <v>0</v>
      </c>
      <c r="E81" s="6">
        <v>47</v>
      </c>
      <c r="F81" s="38">
        <f t="shared" si="2"/>
        <v>77</v>
      </c>
      <c r="H81" s="7">
        <v>77</v>
      </c>
      <c r="I81" s="7">
        <v>0</v>
      </c>
      <c r="J81" s="7">
        <v>73.569999999999993</v>
      </c>
      <c r="K81" s="7">
        <v>74.92</v>
      </c>
      <c r="M81" s="34">
        <v>443.23333000000002</v>
      </c>
      <c r="N81" s="34">
        <v>312.31515000000002</v>
      </c>
      <c r="O81" s="34">
        <v>374.65714000000003</v>
      </c>
      <c r="Q81" s="34">
        <v>5778.39</v>
      </c>
      <c r="R81" s="34">
        <v>4208.43</v>
      </c>
      <c r="S81" s="34">
        <v>4956.03</v>
      </c>
    </row>
    <row r="82" spans="1:19" x14ac:dyDescent="0.35">
      <c r="A82" s="28">
        <v>62</v>
      </c>
      <c r="B82" s="18" t="s">
        <v>66</v>
      </c>
      <c r="C82" s="6">
        <v>4</v>
      </c>
      <c r="D82" s="6">
        <v>0</v>
      </c>
      <c r="E82" s="6">
        <v>32</v>
      </c>
      <c r="F82" s="38">
        <f t="shared" si="2"/>
        <v>36</v>
      </c>
      <c r="H82" s="7">
        <v>108.67</v>
      </c>
      <c r="I82" s="7">
        <v>0</v>
      </c>
      <c r="J82" s="7">
        <v>64.930000000000007</v>
      </c>
      <c r="K82" s="7">
        <v>69.03</v>
      </c>
      <c r="M82" s="34">
        <v>446</v>
      </c>
      <c r="N82" s="34">
        <v>222.37961999999999</v>
      </c>
      <c r="O82" s="34">
        <v>237.80171999999999</v>
      </c>
      <c r="Q82" s="34">
        <v>4456.6000000000004</v>
      </c>
      <c r="R82" s="34">
        <v>3411.44</v>
      </c>
      <c r="S82" s="34">
        <v>3483.52</v>
      </c>
    </row>
    <row r="83" spans="1:19" x14ac:dyDescent="0.35">
      <c r="A83" s="28">
        <v>63</v>
      </c>
      <c r="B83" s="16" t="s">
        <v>67</v>
      </c>
      <c r="C83" s="6">
        <v>0</v>
      </c>
      <c r="D83" s="6">
        <v>0</v>
      </c>
      <c r="E83" s="6">
        <v>39</v>
      </c>
      <c r="F83" s="38">
        <f t="shared" si="2"/>
        <v>39</v>
      </c>
      <c r="H83" s="7">
        <v>0</v>
      </c>
      <c r="I83" s="7">
        <v>0</v>
      </c>
      <c r="J83" s="7">
        <v>77.14</v>
      </c>
      <c r="K83" s="7">
        <v>77.14</v>
      </c>
      <c r="M83" s="34">
        <v>0</v>
      </c>
      <c r="N83" s="34">
        <v>309.43552</v>
      </c>
      <c r="O83" s="34">
        <v>309.43552</v>
      </c>
      <c r="Q83" s="34">
        <v>0</v>
      </c>
      <c r="R83" s="34">
        <v>4133.84</v>
      </c>
      <c r="S83" s="34">
        <v>4133.84</v>
      </c>
    </row>
    <row r="84" spans="1:19" x14ac:dyDescent="0.35">
      <c r="A84" s="28">
        <v>64</v>
      </c>
      <c r="B84" s="16" t="s">
        <v>68</v>
      </c>
      <c r="C84" s="6">
        <v>0</v>
      </c>
      <c r="D84" s="6">
        <v>0</v>
      </c>
      <c r="E84" s="6">
        <v>76</v>
      </c>
      <c r="F84" s="38">
        <f t="shared" si="2"/>
        <v>76</v>
      </c>
      <c r="H84" s="7">
        <v>0</v>
      </c>
      <c r="I84" s="7">
        <v>0</v>
      </c>
      <c r="J84" s="7">
        <v>72.03</v>
      </c>
      <c r="K84" s="7">
        <v>72.03</v>
      </c>
      <c r="M84" s="34">
        <v>0</v>
      </c>
      <c r="N84" s="34">
        <v>301.30622999999997</v>
      </c>
      <c r="O84" s="34">
        <v>301.30622999999997</v>
      </c>
      <c r="Q84" s="34">
        <v>0</v>
      </c>
      <c r="R84" s="34">
        <v>4310.46</v>
      </c>
      <c r="S84" s="34">
        <v>4310.46</v>
      </c>
    </row>
    <row r="85" spans="1:19" x14ac:dyDescent="0.35">
      <c r="A85" s="28">
        <v>65</v>
      </c>
      <c r="B85" s="16" t="s">
        <v>69</v>
      </c>
      <c r="C85" s="6">
        <v>2</v>
      </c>
      <c r="D85" s="6">
        <v>0</v>
      </c>
      <c r="E85" s="6">
        <v>43</v>
      </c>
      <c r="F85" s="38">
        <f t="shared" ref="F85:F93" si="3">SUM(C85:E85)</f>
        <v>45</v>
      </c>
      <c r="H85" s="7">
        <v>46.5</v>
      </c>
      <c r="I85" s="7">
        <v>0</v>
      </c>
      <c r="J85" s="7">
        <v>71.31</v>
      </c>
      <c r="K85" s="7">
        <v>70.099999999999994</v>
      </c>
      <c r="M85" s="59" t="s">
        <v>100</v>
      </c>
      <c r="N85" s="34">
        <v>310.73777000000001</v>
      </c>
      <c r="O85" s="34">
        <v>303.31665999999996</v>
      </c>
      <c r="Q85" s="59" t="s">
        <v>100</v>
      </c>
      <c r="R85" s="34">
        <v>4405.13</v>
      </c>
      <c r="S85" s="34">
        <v>4389.53</v>
      </c>
    </row>
    <row r="86" spans="1:19" x14ac:dyDescent="0.35">
      <c r="A86" s="28">
        <v>66</v>
      </c>
      <c r="B86" s="16" t="s">
        <v>70</v>
      </c>
      <c r="C86" s="6">
        <v>0</v>
      </c>
      <c r="D86" s="6">
        <v>0</v>
      </c>
      <c r="E86" s="6">
        <v>27</v>
      </c>
      <c r="F86" s="38">
        <f t="shared" si="3"/>
        <v>27</v>
      </c>
      <c r="H86" s="7">
        <v>0</v>
      </c>
      <c r="I86" s="7">
        <v>0</v>
      </c>
      <c r="J86" s="7">
        <v>73.23</v>
      </c>
      <c r="K86" s="7">
        <v>73.23</v>
      </c>
      <c r="M86" s="34">
        <v>0</v>
      </c>
      <c r="N86" s="34">
        <v>368.18</v>
      </c>
      <c r="O86" s="34">
        <v>368.18</v>
      </c>
      <c r="Q86" s="34">
        <v>0</v>
      </c>
      <c r="R86" s="34">
        <v>5167.6099999999997</v>
      </c>
      <c r="S86" s="34">
        <v>5167.6099999999997</v>
      </c>
    </row>
    <row r="87" spans="1:19" x14ac:dyDescent="0.35">
      <c r="A87" s="28">
        <v>67</v>
      </c>
      <c r="B87" s="16" t="s">
        <v>71</v>
      </c>
      <c r="C87" s="6">
        <v>1</v>
      </c>
      <c r="D87" s="6">
        <v>0</v>
      </c>
      <c r="E87" s="6">
        <v>24</v>
      </c>
      <c r="F87" s="38">
        <f t="shared" si="3"/>
        <v>25</v>
      </c>
      <c r="H87" s="7">
        <v>70</v>
      </c>
      <c r="I87" s="7">
        <v>0</v>
      </c>
      <c r="J87" s="7">
        <v>84.46</v>
      </c>
      <c r="K87" s="7">
        <v>83.88</v>
      </c>
      <c r="M87" s="59" t="s">
        <v>100</v>
      </c>
      <c r="N87" s="34">
        <v>442.69349999999997</v>
      </c>
      <c r="O87" s="34">
        <v>443.38576</v>
      </c>
      <c r="Q87" s="34" t="s">
        <v>100</v>
      </c>
      <c r="R87" s="34">
        <v>5300.53</v>
      </c>
      <c r="S87" s="34">
        <v>5351.37</v>
      </c>
    </row>
    <row r="88" spans="1:19" x14ac:dyDescent="0.35">
      <c r="A88" s="28">
        <v>68</v>
      </c>
      <c r="B88" s="16" t="s">
        <v>72</v>
      </c>
      <c r="C88" s="6">
        <v>11</v>
      </c>
      <c r="D88" s="6">
        <v>0</v>
      </c>
      <c r="E88" s="6">
        <v>66</v>
      </c>
      <c r="F88" s="38">
        <f t="shared" si="3"/>
        <v>77</v>
      </c>
      <c r="H88" s="7">
        <v>82</v>
      </c>
      <c r="I88" s="7">
        <v>0</v>
      </c>
      <c r="J88" s="7">
        <v>77.739999999999995</v>
      </c>
      <c r="K88" s="7">
        <v>78.36</v>
      </c>
      <c r="M88" s="34">
        <v>511.70127000000002</v>
      </c>
      <c r="N88" s="34">
        <v>424.01220000000001</v>
      </c>
      <c r="O88" s="34">
        <v>436.87326000000002</v>
      </c>
      <c r="Q88" s="34">
        <v>6183.22</v>
      </c>
      <c r="R88" s="34">
        <v>5501.11</v>
      </c>
      <c r="S88" s="34">
        <v>5601.15</v>
      </c>
    </row>
    <row r="89" spans="1:19" x14ac:dyDescent="0.35">
      <c r="A89" s="28">
        <v>69</v>
      </c>
      <c r="B89" s="16" t="s">
        <v>73</v>
      </c>
      <c r="C89" s="6">
        <v>20</v>
      </c>
      <c r="D89" s="6">
        <v>0</v>
      </c>
      <c r="E89" s="6">
        <v>32</v>
      </c>
      <c r="F89" s="38">
        <f t="shared" si="3"/>
        <v>52</v>
      </c>
      <c r="H89" s="7">
        <v>66.3</v>
      </c>
      <c r="I89" s="7">
        <v>0</v>
      </c>
      <c r="J89" s="7">
        <v>104.84</v>
      </c>
      <c r="K89" s="7">
        <v>90.02</v>
      </c>
      <c r="M89" s="34">
        <v>499.29250000000002</v>
      </c>
      <c r="N89" s="34">
        <v>631.87586999999996</v>
      </c>
      <c r="O89" s="34">
        <v>578.84252000000004</v>
      </c>
      <c r="Q89" s="34">
        <v>7457.03</v>
      </c>
      <c r="R89" s="34">
        <v>6003.43</v>
      </c>
      <c r="S89" s="34">
        <v>6584.87</v>
      </c>
    </row>
    <row r="90" spans="1:19" x14ac:dyDescent="0.35">
      <c r="A90" s="28">
        <v>70</v>
      </c>
      <c r="B90" s="16" t="s">
        <v>74</v>
      </c>
      <c r="C90" s="6">
        <v>3</v>
      </c>
      <c r="D90" s="6">
        <v>2</v>
      </c>
      <c r="E90" s="6">
        <v>82</v>
      </c>
      <c r="F90" s="38">
        <f t="shared" si="3"/>
        <v>87</v>
      </c>
      <c r="H90" s="7">
        <v>158.66999999999999</v>
      </c>
      <c r="I90" s="7">
        <v>71</v>
      </c>
      <c r="J90" s="7">
        <v>60.38</v>
      </c>
      <c r="K90" s="7">
        <v>64.489999999999995</v>
      </c>
      <c r="M90" s="34">
        <v>941.66667000000007</v>
      </c>
      <c r="N90" s="34">
        <v>154.10103000000001</v>
      </c>
      <c r="O90" s="34">
        <v>189.89947000000001</v>
      </c>
      <c r="Q90" s="34">
        <v>4162.13</v>
      </c>
      <c r="R90" s="34">
        <v>2442.5300000000002</v>
      </c>
      <c r="S90" s="34">
        <v>2520.69</v>
      </c>
    </row>
    <row r="91" spans="1:19" x14ac:dyDescent="0.35">
      <c r="A91" s="28">
        <v>71</v>
      </c>
      <c r="B91" s="16" t="s">
        <v>75</v>
      </c>
      <c r="C91" s="6">
        <v>7</v>
      </c>
      <c r="D91" s="6">
        <v>1</v>
      </c>
      <c r="E91" s="6">
        <v>34</v>
      </c>
      <c r="F91" s="38">
        <f t="shared" si="3"/>
        <v>42</v>
      </c>
      <c r="H91" s="7">
        <v>73.290000000000006</v>
      </c>
      <c r="I91" s="7">
        <v>62</v>
      </c>
      <c r="J91" s="7">
        <v>75.61</v>
      </c>
      <c r="K91" s="7">
        <v>74.88</v>
      </c>
      <c r="M91" s="34">
        <v>264.57143000000002</v>
      </c>
      <c r="N91" s="34">
        <v>352.55708000000004</v>
      </c>
      <c r="O91" s="34">
        <v>335.91115000000002</v>
      </c>
      <c r="Q91" s="34">
        <v>3785.3</v>
      </c>
      <c r="R91" s="34">
        <v>4800.84</v>
      </c>
      <c r="S91" s="34">
        <v>4608.71</v>
      </c>
    </row>
    <row r="92" spans="1:19" x14ac:dyDescent="0.35">
      <c r="A92" s="28">
        <v>72</v>
      </c>
      <c r="B92" s="16" t="s">
        <v>76</v>
      </c>
      <c r="C92" s="6">
        <v>0</v>
      </c>
      <c r="D92" s="6">
        <v>0</v>
      </c>
      <c r="E92" s="6">
        <v>61</v>
      </c>
      <c r="F92" s="38">
        <f t="shared" si="3"/>
        <v>61</v>
      </c>
      <c r="H92" s="7">
        <v>0</v>
      </c>
      <c r="I92" s="7">
        <v>0</v>
      </c>
      <c r="J92" s="7">
        <v>70.900000000000006</v>
      </c>
      <c r="K92" s="7">
        <v>70.900000000000006</v>
      </c>
      <c r="M92" s="34">
        <v>0</v>
      </c>
      <c r="N92" s="34">
        <v>225.19354000000001</v>
      </c>
      <c r="O92" s="34">
        <v>225.19354000000001</v>
      </c>
      <c r="Q92" s="34">
        <v>0</v>
      </c>
      <c r="R92" s="34">
        <v>3289.79</v>
      </c>
      <c r="S92" s="34">
        <v>3289.79</v>
      </c>
    </row>
    <row r="93" spans="1:19" x14ac:dyDescent="0.35">
      <c r="A93" s="30">
        <v>73</v>
      </c>
      <c r="B93" s="17" t="s">
        <v>77</v>
      </c>
      <c r="C93" s="27">
        <v>2</v>
      </c>
      <c r="D93" s="27">
        <v>0</v>
      </c>
      <c r="E93" s="27">
        <v>141</v>
      </c>
      <c r="F93" s="39">
        <f t="shared" si="3"/>
        <v>143</v>
      </c>
      <c r="G93" s="24"/>
      <c r="H93" s="25">
        <v>86.5</v>
      </c>
      <c r="I93" s="25">
        <v>0</v>
      </c>
      <c r="J93" s="25">
        <v>71.45</v>
      </c>
      <c r="K93" s="25">
        <v>71.67</v>
      </c>
      <c r="L93" s="25"/>
      <c r="M93" s="60" t="s">
        <v>100</v>
      </c>
      <c r="N93" s="37">
        <v>318.13126</v>
      </c>
      <c r="O93" s="37">
        <v>320.92907000000002</v>
      </c>
      <c r="P93" s="37"/>
      <c r="Q93" s="60" t="s">
        <v>100</v>
      </c>
      <c r="R93" s="37">
        <v>4502.3900000000003</v>
      </c>
      <c r="S93" s="37">
        <v>4521.1499999999996</v>
      </c>
    </row>
    <row r="95" spans="1:19" x14ac:dyDescent="0.35">
      <c r="B95" s="33" t="s">
        <v>93</v>
      </c>
    </row>
  </sheetData>
  <phoneticPr fontId="5" type="noConversion"/>
  <pageMargins left="0.75" right="0.75" top="1" bottom="1" header="0" footer="0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9277-8E1F-460C-B4E5-4FEB0C3FD2E6}">
  <dimension ref="A1:S95"/>
  <sheetViews>
    <sheetView topLeftCell="A3" workbookViewId="0">
      <selection activeCell="Q87" sqref="Q87"/>
    </sheetView>
  </sheetViews>
  <sheetFormatPr defaultColWidth="11.3984375" defaultRowHeight="11.65" x14ac:dyDescent="0.35"/>
  <cols>
    <col min="1" max="1" width="4.86328125" style="1" customWidth="1"/>
    <col min="2" max="2" width="35.73046875" style="1" customWidth="1"/>
    <col min="3" max="6" width="10.73046875" style="6" customWidth="1"/>
    <col min="7" max="7" width="2.73046875" style="1" customWidth="1"/>
    <col min="8" max="11" width="10.73046875" style="7" customWidth="1"/>
    <col min="12" max="12" width="2.73046875" style="7" customWidth="1"/>
    <col min="13" max="15" width="10.73046875" style="34" customWidth="1"/>
    <col min="16" max="16" width="2.73046875" style="34" customWidth="1"/>
    <col min="17" max="19" width="10.73046875" style="34" customWidth="1"/>
    <col min="20" max="16384" width="11.3984375" style="1"/>
  </cols>
  <sheetData>
    <row r="1" spans="1:19" ht="13.9" x14ac:dyDescent="0.4">
      <c r="A1" s="2" t="s">
        <v>91</v>
      </c>
    </row>
    <row r="2" spans="1:19" ht="13.15" x14ac:dyDescent="0.4">
      <c r="A2" s="31" t="s">
        <v>102</v>
      </c>
    </row>
    <row r="4" spans="1:19" ht="13.9" x14ac:dyDescent="0.35">
      <c r="C4" s="12" t="s">
        <v>4</v>
      </c>
      <c r="D4" s="13"/>
      <c r="E4" s="13"/>
      <c r="F4" s="13"/>
      <c r="H4" s="8" t="s">
        <v>92</v>
      </c>
      <c r="I4" s="9"/>
      <c r="J4" s="9"/>
      <c r="K4" s="9"/>
      <c r="M4" s="53" t="s">
        <v>6</v>
      </c>
      <c r="N4" s="53"/>
      <c r="O4" s="53"/>
      <c r="Q4" s="53" t="s">
        <v>7</v>
      </c>
      <c r="R4" s="53"/>
      <c r="S4" s="53"/>
    </row>
    <row r="5" spans="1:19" s="3" customFormat="1" ht="23.25" x14ac:dyDescent="0.35">
      <c r="A5" s="4" t="s">
        <v>90</v>
      </c>
      <c r="B5" s="4"/>
      <c r="C5" s="14" t="s">
        <v>0</v>
      </c>
      <c r="D5" s="14" t="s">
        <v>1</v>
      </c>
      <c r="E5" s="14" t="s">
        <v>2</v>
      </c>
      <c r="F5" s="14" t="s">
        <v>3</v>
      </c>
      <c r="G5" s="5"/>
      <c r="H5" s="10" t="s">
        <v>0</v>
      </c>
      <c r="I5" s="10" t="s">
        <v>1</v>
      </c>
      <c r="J5" s="10" t="s">
        <v>2</v>
      </c>
      <c r="K5" s="10" t="s">
        <v>3</v>
      </c>
      <c r="L5" s="11"/>
      <c r="M5" s="54" t="s">
        <v>5</v>
      </c>
      <c r="N5" s="54" t="s">
        <v>2</v>
      </c>
      <c r="O5" s="54" t="s">
        <v>3</v>
      </c>
      <c r="P5" s="58"/>
      <c r="Q5" s="54" t="s">
        <v>5</v>
      </c>
      <c r="R5" s="54" t="s">
        <v>2</v>
      </c>
      <c r="S5" s="54" t="s">
        <v>3</v>
      </c>
    </row>
    <row r="6" spans="1:19" s="3" customFormat="1" x14ac:dyDescent="0.35">
      <c r="B6" s="103" t="s">
        <v>94</v>
      </c>
      <c r="C6" s="6">
        <v>1698</v>
      </c>
      <c r="D6" s="6">
        <v>135</v>
      </c>
      <c r="E6" s="6">
        <v>14354</v>
      </c>
      <c r="F6" s="6">
        <f t="shared" ref="F6" si="0">SUM(C6:E6)</f>
        <v>16187</v>
      </c>
      <c r="G6" s="1"/>
      <c r="H6" s="7">
        <v>80.709999999999994</v>
      </c>
      <c r="I6" s="7">
        <v>66.02</v>
      </c>
      <c r="J6" s="7">
        <v>79.83</v>
      </c>
      <c r="K6" s="7">
        <v>79.8</v>
      </c>
      <c r="L6" s="1"/>
      <c r="M6" s="34">
        <v>418.57709</v>
      </c>
      <c r="N6" s="34">
        <v>375.35915999999997</v>
      </c>
      <c r="O6" s="34">
        <v>380.37460999999996</v>
      </c>
      <c r="P6" s="34"/>
      <c r="Q6" s="34">
        <v>5064.8900000000003</v>
      </c>
      <c r="R6" s="34">
        <v>4467.54</v>
      </c>
      <c r="S6" s="34">
        <v>4536.8599999999997</v>
      </c>
    </row>
    <row r="7" spans="1:19" s="3" customFormat="1" x14ac:dyDescent="0.35">
      <c r="C7" s="38"/>
      <c r="D7" s="38"/>
      <c r="E7" s="38"/>
      <c r="F7" s="38"/>
      <c r="H7" s="105"/>
      <c r="I7" s="105"/>
      <c r="J7" s="105"/>
      <c r="K7" s="105"/>
      <c r="L7" s="106"/>
      <c r="M7" s="107"/>
      <c r="N7" s="107"/>
      <c r="O7" s="107"/>
      <c r="P7" s="108"/>
      <c r="Q7" s="107"/>
      <c r="R7" s="107"/>
      <c r="S7" s="107"/>
    </row>
    <row r="8" spans="1:19" s="3" customFormat="1" x14ac:dyDescent="0.35">
      <c r="B8" s="115" t="s">
        <v>88</v>
      </c>
      <c r="C8" s="38"/>
      <c r="D8" s="38"/>
      <c r="E8" s="38"/>
      <c r="F8" s="38"/>
      <c r="H8" s="105"/>
      <c r="I8" s="105"/>
      <c r="J8" s="105"/>
      <c r="K8" s="105"/>
      <c r="L8" s="106"/>
      <c r="M8" s="107"/>
      <c r="N8" s="107"/>
      <c r="O8" s="107"/>
      <c r="P8" s="108"/>
      <c r="Q8" s="107"/>
      <c r="R8" s="107"/>
      <c r="S8" s="107"/>
    </row>
    <row r="9" spans="1:19" s="3" customFormat="1" x14ac:dyDescent="0.35">
      <c r="A9" s="112">
        <v>1</v>
      </c>
      <c r="B9" s="3" t="s">
        <v>79</v>
      </c>
      <c r="C9" s="38">
        <v>127</v>
      </c>
      <c r="D9" s="38">
        <v>0</v>
      </c>
      <c r="E9" s="38">
        <v>1391</v>
      </c>
      <c r="F9" s="38">
        <f t="shared" ref="F9:F18" si="1">SUM(C9:E9)</f>
        <v>1518</v>
      </c>
      <c r="H9" s="105">
        <v>74.67</v>
      </c>
      <c r="I9" s="105">
        <v>0</v>
      </c>
      <c r="J9" s="105">
        <v>66.41</v>
      </c>
      <c r="K9" s="105">
        <v>67.14</v>
      </c>
      <c r="L9" s="106"/>
      <c r="M9" s="107">
        <v>362.79802000000001</v>
      </c>
      <c r="N9" s="107">
        <v>269.65421999999995</v>
      </c>
      <c r="O9" s="107">
        <v>278.09442999999999</v>
      </c>
      <c r="P9" s="108"/>
      <c r="Q9" s="107">
        <v>4949.3100000000004</v>
      </c>
      <c r="R9" s="107">
        <v>4133.3999999999996</v>
      </c>
      <c r="S9" s="107">
        <v>4207.34</v>
      </c>
    </row>
    <row r="10" spans="1:19" s="3" customFormat="1" x14ac:dyDescent="0.35">
      <c r="A10" s="112">
        <v>2</v>
      </c>
      <c r="B10" s="3" t="s">
        <v>80</v>
      </c>
      <c r="C10" s="38">
        <v>382</v>
      </c>
      <c r="D10" s="38">
        <v>21</v>
      </c>
      <c r="E10" s="38">
        <v>2350</v>
      </c>
      <c r="F10" s="38">
        <f t="shared" si="1"/>
        <v>2753</v>
      </c>
      <c r="H10" s="105">
        <v>94.46</v>
      </c>
      <c r="I10" s="105">
        <v>88.38</v>
      </c>
      <c r="J10" s="105">
        <v>92.55</v>
      </c>
      <c r="K10" s="105">
        <v>92.78</v>
      </c>
      <c r="L10" s="106"/>
      <c r="M10" s="107">
        <v>566.82254</v>
      </c>
      <c r="N10" s="107">
        <v>517.60529999999994</v>
      </c>
      <c r="O10" s="107">
        <v>524.64241000000004</v>
      </c>
      <c r="P10" s="108"/>
      <c r="Q10" s="107">
        <v>5783.36</v>
      </c>
      <c r="R10" s="107">
        <v>5521.53</v>
      </c>
      <c r="S10" s="107">
        <v>5558.97</v>
      </c>
    </row>
    <row r="11" spans="1:19" s="3" customFormat="1" x14ac:dyDescent="0.35">
      <c r="A11" s="112">
        <v>3</v>
      </c>
      <c r="B11" s="3" t="s">
        <v>81</v>
      </c>
      <c r="C11" s="38">
        <v>276</v>
      </c>
      <c r="D11" s="38">
        <v>62</v>
      </c>
      <c r="E11" s="38">
        <v>1690</v>
      </c>
      <c r="F11" s="38">
        <f t="shared" si="1"/>
        <v>2028</v>
      </c>
      <c r="H11" s="105">
        <v>67.05</v>
      </c>
      <c r="I11" s="105">
        <v>58.32</v>
      </c>
      <c r="J11" s="105">
        <v>67.37</v>
      </c>
      <c r="K11" s="105">
        <v>67</v>
      </c>
      <c r="L11" s="106"/>
      <c r="M11" s="107">
        <v>372.70428000000004</v>
      </c>
      <c r="N11" s="107">
        <v>269.13733000000002</v>
      </c>
      <c r="O11" s="107">
        <v>284.88713999999999</v>
      </c>
      <c r="P11" s="108"/>
      <c r="Q11" s="107">
        <v>5527.16</v>
      </c>
      <c r="R11" s="107">
        <v>4111.17</v>
      </c>
      <c r="S11" s="107">
        <v>4326.51</v>
      </c>
    </row>
    <row r="12" spans="1:19" s="3" customFormat="1" x14ac:dyDescent="0.35">
      <c r="A12" s="112">
        <v>4</v>
      </c>
      <c r="B12" s="3" t="s">
        <v>82</v>
      </c>
      <c r="C12" s="38">
        <v>25</v>
      </c>
      <c r="D12" s="38">
        <v>0</v>
      </c>
      <c r="E12" s="38">
        <v>603</v>
      </c>
      <c r="F12" s="38">
        <f t="shared" si="1"/>
        <v>628</v>
      </c>
      <c r="H12" s="105">
        <v>91.83</v>
      </c>
      <c r="I12" s="105">
        <v>0</v>
      </c>
      <c r="J12" s="105">
        <v>98.82</v>
      </c>
      <c r="K12" s="105">
        <v>98.52</v>
      </c>
      <c r="L12" s="106"/>
      <c r="M12" s="107">
        <v>577.50004000000001</v>
      </c>
      <c r="N12" s="107">
        <v>556.31212000000005</v>
      </c>
      <c r="O12" s="107">
        <v>557.33117000000004</v>
      </c>
      <c r="P12" s="108"/>
      <c r="Q12" s="107">
        <v>6314.88</v>
      </c>
      <c r="R12" s="107">
        <v>5440.81</v>
      </c>
      <c r="S12" s="107">
        <v>5482.85</v>
      </c>
    </row>
    <row r="13" spans="1:19" s="3" customFormat="1" x14ac:dyDescent="0.35">
      <c r="A13" s="112">
        <v>5</v>
      </c>
      <c r="B13" s="3" t="s">
        <v>83</v>
      </c>
      <c r="C13" s="38">
        <v>73</v>
      </c>
      <c r="D13" s="38">
        <v>0</v>
      </c>
      <c r="E13" s="38">
        <v>1175</v>
      </c>
      <c r="F13" s="38">
        <f t="shared" si="1"/>
        <v>1248</v>
      </c>
      <c r="H13" s="105">
        <v>119.87</v>
      </c>
      <c r="I13" s="105">
        <v>0</v>
      </c>
      <c r="J13" s="105">
        <v>127.31</v>
      </c>
      <c r="K13" s="105">
        <v>126.91</v>
      </c>
      <c r="L13" s="106"/>
      <c r="M13" s="107">
        <v>759.38508999999999</v>
      </c>
      <c r="N13" s="107">
        <v>780.78675999999996</v>
      </c>
      <c r="O13" s="107">
        <v>779.58795999999995</v>
      </c>
      <c r="P13" s="108"/>
      <c r="Q13" s="107">
        <v>6285.05</v>
      </c>
      <c r="R13" s="107">
        <v>6158.91</v>
      </c>
      <c r="S13" s="107">
        <v>6165.97</v>
      </c>
    </row>
    <row r="14" spans="1:19" s="3" customFormat="1" x14ac:dyDescent="0.35">
      <c r="A14" s="112">
        <v>6</v>
      </c>
      <c r="B14" s="3" t="s">
        <v>84</v>
      </c>
      <c r="C14" s="38">
        <v>87</v>
      </c>
      <c r="D14" s="38">
        <v>3</v>
      </c>
      <c r="E14" s="38">
        <v>1031</v>
      </c>
      <c r="F14" s="38">
        <f t="shared" si="1"/>
        <v>1121</v>
      </c>
      <c r="H14" s="105">
        <v>101.29</v>
      </c>
      <c r="I14" s="105">
        <v>69</v>
      </c>
      <c r="J14" s="105">
        <v>79.8</v>
      </c>
      <c r="K14" s="105">
        <v>81.400000000000006</v>
      </c>
      <c r="L14" s="106"/>
      <c r="M14" s="107">
        <v>433.12834000000004</v>
      </c>
      <c r="N14" s="107">
        <v>387.02704999999997</v>
      </c>
      <c r="O14" s="107">
        <v>390.56612999999999</v>
      </c>
      <c r="P14" s="108"/>
      <c r="Q14" s="107">
        <v>4351.82</v>
      </c>
      <c r="R14" s="107">
        <v>4949.97</v>
      </c>
      <c r="S14" s="107">
        <v>4904.0600000000004</v>
      </c>
    </row>
    <row r="15" spans="1:19" s="3" customFormat="1" x14ac:dyDescent="0.35">
      <c r="A15" s="112">
        <v>7</v>
      </c>
      <c r="B15" s="3" t="s">
        <v>85</v>
      </c>
      <c r="C15" s="38">
        <v>441</v>
      </c>
      <c r="D15" s="38">
        <v>30</v>
      </c>
      <c r="E15" s="38">
        <v>1245</v>
      </c>
      <c r="F15" s="38">
        <f t="shared" si="1"/>
        <v>1716</v>
      </c>
      <c r="H15" s="105">
        <v>73.11</v>
      </c>
      <c r="I15" s="105">
        <v>69.73</v>
      </c>
      <c r="J15" s="105">
        <v>68.540000000000006</v>
      </c>
      <c r="K15" s="105">
        <v>69.760000000000005</v>
      </c>
      <c r="L15" s="106"/>
      <c r="M15" s="107">
        <v>293.13567</v>
      </c>
      <c r="N15" s="107">
        <v>243.34504999999999</v>
      </c>
      <c r="O15" s="107">
        <v>256.98815000000002</v>
      </c>
      <c r="P15" s="108"/>
      <c r="Q15" s="107">
        <v>3950.69</v>
      </c>
      <c r="R15" s="107">
        <v>3565.14</v>
      </c>
      <c r="S15" s="107">
        <v>3670.79</v>
      </c>
    </row>
    <row r="16" spans="1:19" s="3" customFormat="1" x14ac:dyDescent="0.35">
      <c r="A16" s="112">
        <v>8</v>
      </c>
      <c r="B16" s="3" t="s">
        <v>86</v>
      </c>
      <c r="C16" s="38">
        <v>15</v>
      </c>
      <c r="D16" s="38">
        <v>0</v>
      </c>
      <c r="E16" s="38">
        <v>1573</v>
      </c>
      <c r="F16" s="38">
        <f t="shared" si="1"/>
        <v>1588</v>
      </c>
      <c r="H16" s="105">
        <v>72.55</v>
      </c>
      <c r="I16" s="105">
        <v>0</v>
      </c>
      <c r="J16" s="105">
        <v>63.57</v>
      </c>
      <c r="K16" s="105">
        <v>63.64</v>
      </c>
      <c r="L16" s="106"/>
      <c r="M16" s="107">
        <v>255.85354999999998</v>
      </c>
      <c r="N16" s="107">
        <v>178.06256999999999</v>
      </c>
      <c r="O16" s="107">
        <v>178.88773999999998</v>
      </c>
      <c r="P16" s="108"/>
      <c r="Q16" s="107">
        <v>3936.77</v>
      </c>
      <c r="R16" s="107">
        <v>2839.7</v>
      </c>
      <c r="S16" s="107">
        <v>2851.34</v>
      </c>
    </row>
    <row r="17" spans="1:19" s="3" customFormat="1" x14ac:dyDescent="0.35">
      <c r="A17" s="112">
        <v>9</v>
      </c>
      <c r="B17" s="3" t="s">
        <v>64</v>
      </c>
      <c r="C17" s="38">
        <v>84</v>
      </c>
      <c r="D17" s="38">
        <v>3</v>
      </c>
      <c r="E17" s="38">
        <v>1189</v>
      </c>
      <c r="F17" s="38">
        <f t="shared" si="1"/>
        <v>1276</v>
      </c>
      <c r="H17" s="105">
        <v>81.89</v>
      </c>
      <c r="I17" s="105">
        <v>80.33</v>
      </c>
      <c r="J17" s="105">
        <v>72.11</v>
      </c>
      <c r="K17" s="105">
        <v>72.790000000000006</v>
      </c>
      <c r="L17" s="106"/>
      <c r="M17" s="107">
        <v>374.27771000000001</v>
      </c>
      <c r="N17" s="107">
        <v>246.65057999999999</v>
      </c>
      <c r="O17" s="107">
        <v>256.55484000000001</v>
      </c>
      <c r="P17" s="108"/>
      <c r="Q17" s="107">
        <v>4671.55</v>
      </c>
      <c r="R17" s="107">
        <v>3438.65</v>
      </c>
      <c r="S17" s="107">
        <v>3534.33</v>
      </c>
    </row>
    <row r="18" spans="1:19" s="3" customFormat="1" x14ac:dyDescent="0.35">
      <c r="A18" s="112">
        <v>10</v>
      </c>
      <c r="B18" s="3" t="s">
        <v>87</v>
      </c>
      <c r="C18" s="38">
        <v>180</v>
      </c>
      <c r="D18" s="38">
        <v>16</v>
      </c>
      <c r="E18" s="38">
        <v>2011</v>
      </c>
      <c r="F18" s="38">
        <f t="shared" si="1"/>
        <v>2207</v>
      </c>
      <c r="H18" s="105">
        <v>70.38</v>
      </c>
      <c r="I18" s="105">
        <v>64.27</v>
      </c>
      <c r="J18" s="105">
        <v>74.650000000000006</v>
      </c>
      <c r="K18" s="105">
        <v>74.209999999999994</v>
      </c>
      <c r="L18" s="106"/>
      <c r="M18" s="107">
        <v>410.48308000000003</v>
      </c>
      <c r="N18" s="107">
        <v>332.01240000000001</v>
      </c>
      <c r="O18" s="107">
        <v>339.64521000000002</v>
      </c>
      <c r="P18" s="108"/>
      <c r="Q18" s="107">
        <v>5729.08</v>
      </c>
      <c r="R18" s="107">
        <v>4320.75</v>
      </c>
      <c r="S18" s="107">
        <v>4457.74</v>
      </c>
    </row>
    <row r="19" spans="1:19" s="3" customFormat="1" x14ac:dyDescent="0.35">
      <c r="A19" s="112"/>
      <c r="C19" s="38"/>
      <c r="D19" s="38"/>
      <c r="E19" s="38"/>
      <c r="F19" s="38"/>
      <c r="H19" s="105"/>
      <c r="I19" s="105"/>
      <c r="J19" s="105"/>
      <c r="K19" s="105"/>
      <c r="L19" s="106"/>
      <c r="M19" s="107"/>
      <c r="N19" s="107"/>
      <c r="O19" s="107"/>
      <c r="P19" s="108"/>
      <c r="Q19" s="107"/>
      <c r="R19" s="107"/>
      <c r="S19" s="107"/>
    </row>
    <row r="20" spans="1:19" s="3" customFormat="1" x14ac:dyDescent="0.35">
      <c r="A20" s="112"/>
      <c r="B20" s="115" t="s">
        <v>89</v>
      </c>
      <c r="C20" s="38"/>
      <c r="D20" s="38"/>
      <c r="E20" s="38"/>
      <c r="F20" s="38"/>
      <c r="H20" s="105"/>
      <c r="I20" s="105"/>
      <c r="J20" s="105"/>
      <c r="K20" s="105"/>
      <c r="L20" s="106"/>
      <c r="M20" s="107"/>
      <c r="N20" s="107"/>
      <c r="O20" s="107"/>
      <c r="P20" s="108"/>
      <c r="Q20" s="107"/>
      <c r="R20" s="107"/>
      <c r="S20" s="107"/>
    </row>
    <row r="21" spans="1:19" x14ac:dyDescent="0.35">
      <c r="A21" s="112">
        <v>1</v>
      </c>
      <c r="B21" s="6" t="s">
        <v>8</v>
      </c>
      <c r="C21" s="6">
        <v>29</v>
      </c>
      <c r="D21" s="6">
        <v>0</v>
      </c>
      <c r="E21" s="6">
        <v>696</v>
      </c>
      <c r="F21" s="38">
        <f t="shared" ref="F21:F84" si="2">SUM(C21:E21)</f>
        <v>725</v>
      </c>
      <c r="H21" s="7">
        <v>58.2</v>
      </c>
      <c r="I21" s="7">
        <v>0</v>
      </c>
      <c r="J21" s="7">
        <v>61.36</v>
      </c>
      <c r="K21" s="7">
        <v>61.21</v>
      </c>
      <c r="M21" s="34">
        <v>247.72</v>
      </c>
      <c r="N21" s="34">
        <v>199.50895</v>
      </c>
      <c r="O21" s="34">
        <v>201.81791000000001</v>
      </c>
      <c r="Q21" s="34">
        <v>4501.13</v>
      </c>
      <c r="R21" s="34">
        <v>3340.3</v>
      </c>
      <c r="S21" s="34">
        <v>3395.9</v>
      </c>
    </row>
    <row r="22" spans="1:19" x14ac:dyDescent="0.35">
      <c r="A22" s="112">
        <v>2</v>
      </c>
      <c r="B22" s="6" t="s">
        <v>9</v>
      </c>
      <c r="C22" s="6">
        <v>48</v>
      </c>
      <c r="D22" s="6">
        <v>0</v>
      </c>
      <c r="E22" s="6">
        <v>247</v>
      </c>
      <c r="F22" s="38">
        <f t="shared" si="2"/>
        <v>295</v>
      </c>
      <c r="H22" s="7">
        <v>93.67</v>
      </c>
      <c r="I22" s="7">
        <v>0</v>
      </c>
      <c r="J22" s="7">
        <v>88.92</v>
      </c>
      <c r="K22" s="7">
        <v>89.69</v>
      </c>
      <c r="M22" s="34">
        <v>475.33802000000003</v>
      </c>
      <c r="N22" s="34">
        <v>400.93398999999999</v>
      </c>
      <c r="O22" s="34">
        <v>413.09340000000003</v>
      </c>
      <c r="Q22" s="34">
        <v>5105.78</v>
      </c>
      <c r="R22" s="34">
        <v>4574.74</v>
      </c>
      <c r="S22" s="34">
        <v>4661.5200000000004</v>
      </c>
    </row>
    <row r="23" spans="1:19" x14ac:dyDescent="0.35">
      <c r="A23" s="112">
        <v>3</v>
      </c>
      <c r="B23" s="6" t="s">
        <v>10</v>
      </c>
      <c r="C23" s="6">
        <v>22</v>
      </c>
      <c r="D23" s="6">
        <v>0</v>
      </c>
      <c r="E23" s="6">
        <v>153</v>
      </c>
      <c r="F23" s="38">
        <f t="shared" si="2"/>
        <v>175</v>
      </c>
      <c r="H23" s="7">
        <v>36.5</v>
      </c>
      <c r="I23" s="7">
        <v>0</v>
      </c>
      <c r="J23" s="7">
        <v>43.92</v>
      </c>
      <c r="K23" s="7">
        <v>43.09</v>
      </c>
      <c r="M23" s="34">
        <v>197.84721999999999</v>
      </c>
      <c r="N23" s="34">
        <v>241.56317000000001</v>
      </c>
      <c r="O23" s="34">
        <v>236.67567000000003</v>
      </c>
      <c r="Q23" s="34">
        <v>5550.86</v>
      </c>
      <c r="R23" s="34">
        <v>5565.79</v>
      </c>
      <c r="S23" s="34">
        <v>5564.12</v>
      </c>
    </row>
    <row r="24" spans="1:19" x14ac:dyDescent="0.35">
      <c r="A24" s="112">
        <v>4</v>
      </c>
      <c r="B24" s="6" t="s">
        <v>11</v>
      </c>
      <c r="C24" s="6">
        <v>28</v>
      </c>
      <c r="D24" s="6">
        <v>0</v>
      </c>
      <c r="E24" s="6">
        <v>295</v>
      </c>
      <c r="F24" s="38">
        <f t="shared" si="2"/>
        <v>323</v>
      </c>
      <c r="H24" s="7">
        <v>85.81</v>
      </c>
      <c r="I24" s="7">
        <v>0</v>
      </c>
      <c r="J24" s="7">
        <v>70</v>
      </c>
      <c r="K24" s="7">
        <v>71.44</v>
      </c>
      <c r="M24" s="34">
        <v>404.25671</v>
      </c>
      <c r="N24" s="34">
        <v>309.26042000000001</v>
      </c>
      <c r="O24" s="34">
        <v>317.92561999999998</v>
      </c>
      <c r="Q24" s="34">
        <v>4719.88</v>
      </c>
      <c r="R24" s="34">
        <v>4484.53</v>
      </c>
      <c r="S24" s="34">
        <v>4506</v>
      </c>
    </row>
    <row r="25" spans="1:19" x14ac:dyDescent="0.35">
      <c r="A25" s="112">
        <v>5</v>
      </c>
      <c r="B25" s="6" t="s">
        <v>12</v>
      </c>
      <c r="C25" s="6">
        <v>8</v>
      </c>
      <c r="D25" s="6">
        <v>0</v>
      </c>
      <c r="E25" s="6">
        <v>255</v>
      </c>
      <c r="F25" s="38">
        <f t="shared" si="2"/>
        <v>263</v>
      </c>
      <c r="H25" s="7">
        <v>71.13</v>
      </c>
      <c r="I25" s="7">
        <v>0</v>
      </c>
      <c r="J25" s="7">
        <v>85.18</v>
      </c>
      <c r="K25" s="7">
        <v>84.72</v>
      </c>
      <c r="M25" s="34">
        <v>337.11446000000001</v>
      </c>
      <c r="N25" s="34">
        <v>397.30646999999999</v>
      </c>
      <c r="O25" s="34">
        <v>395.26605999999998</v>
      </c>
      <c r="Q25" s="34">
        <v>4725.32</v>
      </c>
      <c r="R25" s="34">
        <v>4804.59</v>
      </c>
      <c r="S25" s="34">
        <v>4801.8999999999996</v>
      </c>
    </row>
    <row r="26" spans="1:19" x14ac:dyDescent="0.35">
      <c r="A26" s="112">
        <v>6</v>
      </c>
      <c r="B26" s="6" t="s">
        <v>13</v>
      </c>
      <c r="C26" s="6">
        <v>50</v>
      </c>
      <c r="D26" s="6">
        <v>0</v>
      </c>
      <c r="E26" s="6">
        <v>448</v>
      </c>
      <c r="F26" s="38">
        <f t="shared" si="2"/>
        <v>498</v>
      </c>
      <c r="H26" s="7">
        <v>97.26</v>
      </c>
      <c r="I26" s="7">
        <v>0</v>
      </c>
      <c r="J26" s="7">
        <v>74.66</v>
      </c>
      <c r="K26" s="7">
        <v>77.040000000000006</v>
      </c>
      <c r="M26" s="34">
        <v>584.14068000000009</v>
      </c>
      <c r="N26" s="34">
        <v>356.00454999999999</v>
      </c>
      <c r="O26" s="34">
        <v>380.94036</v>
      </c>
      <c r="Q26" s="34">
        <v>6132.5</v>
      </c>
      <c r="R26" s="34">
        <v>4903.28</v>
      </c>
      <c r="S26" s="34">
        <v>5037.6400000000003</v>
      </c>
    </row>
    <row r="27" spans="1:19" x14ac:dyDescent="0.35">
      <c r="A27" s="112">
        <v>7</v>
      </c>
      <c r="B27" s="6" t="s">
        <v>14</v>
      </c>
      <c r="C27" s="6">
        <v>98</v>
      </c>
      <c r="D27" s="6">
        <v>0</v>
      </c>
      <c r="E27" s="6">
        <v>545</v>
      </c>
      <c r="F27" s="38">
        <f t="shared" si="2"/>
        <v>643</v>
      </c>
      <c r="H27" s="7">
        <v>127.5</v>
      </c>
      <c r="I27" s="7">
        <v>0</v>
      </c>
      <c r="J27" s="7">
        <v>118.88</v>
      </c>
      <c r="K27" s="7">
        <v>120.07</v>
      </c>
      <c r="M27" s="34">
        <v>990.54539</v>
      </c>
      <c r="N27" s="34">
        <v>780.37957999999992</v>
      </c>
      <c r="O27" s="34">
        <v>809.74098000000004</v>
      </c>
      <c r="Q27" s="34">
        <v>7695.22</v>
      </c>
      <c r="R27" s="34">
        <v>6562.91</v>
      </c>
      <c r="S27" s="34">
        <v>6721.1</v>
      </c>
    </row>
    <row r="28" spans="1:19" x14ac:dyDescent="0.35">
      <c r="A28" s="112">
        <v>8</v>
      </c>
      <c r="B28" s="6" t="s">
        <v>15</v>
      </c>
      <c r="C28" s="6">
        <v>19</v>
      </c>
      <c r="D28" s="6">
        <v>0</v>
      </c>
      <c r="E28" s="6">
        <v>449</v>
      </c>
      <c r="F28" s="38">
        <f t="shared" si="2"/>
        <v>468</v>
      </c>
      <c r="H28" s="7">
        <v>97.31</v>
      </c>
      <c r="I28" s="7">
        <v>0</v>
      </c>
      <c r="J28" s="7">
        <v>97.74</v>
      </c>
      <c r="K28" s="7">
        <v>97.72</v>
      </c>
      <c r="M28" s="34">
        <v>706.31256000000008</v>
      </c>
      <c r="N28" s="34">
        <v>575.44103000000007</v>
      </c>
      <c r="O28" s="34">
        <v>580.66283999999996</v>
      </c>
      <c r="Q28" s="34">
        <v>6967.66</v>
      </c>
      <c r="R28" s="34">
        <v>5930.24</v>
      </c>
      <c r="S28" s="34">
        <v>5971.63</v>
      </c>
    </row>
    <row r="29" spans="1:19" x14ac:dyDescent="0.35">
      <c r="A29" s="112">
        <v>9</v>
      </c>
      <c r="B29" s="6" t="s">
        <v>16</v>
      </c>
      <c r="C29" s="6">
        <v>174</v>
      </c>
      <c r="D29" s="6">
        <v>17</v>
      </c>
      <c r="E29" s="6">
        <v>346</v>
      </c>
      <c r="F29" s="38">
        <f t="shared" si="2"/>
        <v>537</v>
      </c>
      <c r="H29" s="7">
        <v>78.39</v>
      </c>
      <c r="I29" s="7">
        <v>87.54</v>
      </c>
      <c r="J29" s="7">
        <v>83.48</v>
      </c>
      <c r="K29" s="7">
        <v>81.91</v>
      </c>
      <c r="M29" s="34">
        <v>379.16079999999999</v>
      </c>
      <c r="N29" s="34">
        <v>426.76531</v>
      </c>
      <c r="O29" s="34">
        <v>409.10917999999998</v>
      </c>
      <c r="Q29" s="34">
        <v>4905.3500000000004</v>
      </c>
      <c r="R29" s="34">
        <v>5173.16</v>
      </c>
      <c r="S29" s="34">
        <v>5073.83</v>
      </c>
    </row>
    <row r="30" spans="1:19" x14ac:dyDescent="0.35">
      <c r="A30" s="112">
        <v>10</v>
      </c>
      <c r="B30" s="6" t="s">
        <v>17</v>
      </c>
      <c r="C30" s="6">
        <v>33</v>
      </c>
      <c r="D30" s="6">
        <v>4</v>
      </c>
      <c r="E30" s="6">
        <v>307</v>
      </c>
      <c r="F30" s="38">
        <f t="shared" si="2"/>
        <v>344</v>
      </c>
      <c r="H30" s="7">
        <v>95.96</v>
      </c>
      <c r="I30" s="7">
        <v>92</v>
      </c>
      <c r="J30" s="7">
        <v>81.06</v>
      </c>
      <c r="K30" s="7">
        <v>82.54</v>
      </c>
      <c r="M30" s="34">
        <v>422.18751000000003</v>
      </c>
      <c r="N30" s="34">
        <v>392.29268000000002</v>
      </c>
      <c r="O30" s="34">
        <v>395.08859999999999</v>
      </c>
      <c r="Q30" s="34">
        <v>4496.0200000000004</v>
      </c>
      <c r="R30" s="34">
        <v>4921.91</v>
      </c>
      <c r="S30" s="34">
        <v>4882.08</v>
      </c>
    </row>
    <row r="31" spans="1:19" x14ac:dyDescent="0.35">
      <c r="A31" s="112">
        <v>11</v>
      </c>
      <c r="B31" s="6" t="s">
        <v>96</v>
      </c>
      <c r="C31" s="6">
        <v>5</v>
      </c>
      <c r="D31" s="6">
        <v>0</v>
      </c>
      <c r="E31" s="6">
        <v>407</v>
      </c>
      <c r="F31" s="38">
        <f t="shared" si="2"/>
        <v>412</v>
      </c>
      <c r="H31" s="7">
        <v>70.25</v>
      </c>
      <c r="I31" s="7">
        <v>0</v>
      </c>
      <c r="J31" s="7">
        <v>60.65</v>
      </c>
      <c r="K31" s="7">
        <v>60.76</v>
      </c>
      <c r="M31" s="34">
        <v>382.5</v>
      </c>
      <c r="N31" s="34">
        <v>249.63189000000003</v>
      </c>
      <c r="O31" s="34">
        <v>251.17687000000001</v>
      </c>
      <c r="Q31" s="34">
        <v>5424.66</v>
      </c>
      <c r="R31" s="34">
        <v>4223.58</v>
      </c>
      <c r="S31" s="34">
        <v>4237.55</v>
      </c>
    </row>
    <row r="32" spans="1:19" x14ac:dyDescent="0.35">
      <c r="A32" s="112">
        <v>12</v>
      </c>
      <c r="B32" s="6" t="s">
        <v>97</v>
      </c>
      <c r="C32" s="6">
        <v>156</v>
      </c>
      <c r="D32" s="6">
        <v>61</v>
      </c>
      <c r="E32" s="6">
        <v>27</v>
      </c>
      <c r="F32" s="38">
        <f t="shared" si="2"/>
        <v>244</v>
      </c>
      <c r="H32" s="7">
        <v>65.95</v>
      </c>
      <c r="I32" s="7">
        <v>58.41</v>
      </c>
      <c r="J32" s="7">
        <v>79.25</v>
      </c>
      <c r="K32" s="7">
        <v>65.37</v>
      </c>
      <c r="M32" s="34">
        <v>425.30690999999996</v>
      </c>
      <c r="N32" s="34">
        <v>335.06340999999998</v>
      </c>
      <c r="O32" s="34">
        <v>415.50903999999997</v>
      </c>
      <c r="Q32" s="34">
        <v>6364.84</v>
      </c>
      <c r="R32" s="34">
        <v>4314.71</v>
      </c>
      <c r="S32" s="34">
        <v>6142.25</v>
      </c>
    </row>
    <row r="33" spans="1:19" x14ac:dyDescent="0.35">
      <c r="A33" s="112">
        <v>13</v>
      </c>
      <c r="B33" s="6" t="s">
        <v>18</v>
      </c>
      <c r="C33" s="6">
        <v>11</v>
      </c>
      <c r="D33" s="6">
        <v>0</v>
      </c>
      <c r="E33" s="6">
        <v>265</v>
      </c>
      <c r="F33" s="38">
        <f t="shared" si="2"/>
        <v>276</v>
      </c>
      <c r="H33" s="7">
        <v>55.45</v>
      </c>
      <c r="I33" s="7">
        <v>0</v>
      </c>
      <c r="J33" s="7">
        <v>73.709999999999994</v>
      </c>
      <c r="K33" s="7">
        <v>72.91</v>
      </c>
      <c r="M33" s="34">
        <v>193.50009</v>
      </c>
      <c r="N33" s="34">
        <v>288.59438</v>
      </c>
      <c r="O33" s="34">
        <v>283.23009000000002</v>
      </c>
      <c r="Q33" s="34">
        <v>3614.35</v>
      </c>
      <c r="R33" s="34">
        <v>4001.09</v>
      </c>
      <c r="S33" s="34">
        <v>3979.27</v>
      </c>
    </row>
    <row r="34" spans="1:19" x14ac:dyDescent="0.35">
      <c r="A34" s="112">
        <v>14</v>
      </c>
      <c r="B34" s="6" t="s">
        <v>19</v>
      </c>
      <c r="C34" s="6">
        <v>5</v>
      </c>
      <c r="D34" s="6">
        <v>0</v>
      </c>
      <c r="E34" s="6">
        <v>76</v>
      </c>
      <c r="F34" s="38">
        <f t="shared" si="2"/>
        <v>81</v>
      </c>
      <c r="H34" s="7">
        <v>71.67</v>
      </c>
      <c r="I34" s="7">
        <v>0</v>
      </c>
      <c r="J34" s="7">
        <v>72.819999999999993</v>
      </c>
      <c r="K34" s="7">
        <v>72.77</v>
      </c>
      <c r="M34" s="34">
        <v>247</v>
      </c>
      <c r="N34" s="34">
        <v>262.08936</v>
      </c>
      <c r="O34" s="34">
        <v>261.42365000000001</v>
      </c>
      <c r="Q34" s="34">
        <v>3443.15</v>
      </c>
      <c r="R34" s="34">
        <v>3806.33</v>
      </c>
      <c r="S34" s="34">
        <v>3790.31</v>
      </c>
    </row>
    <row r="35" spans="1:19" x14ac:dyDescent="0.35">
      <c r="A35" s="112">
        <v>15</v>
      </c>
      <c r="B35" s="6" t="s">
        <v>20</v>
      </c>
      <c r="C35" s="6">
        <v>31</v>
      </c>
      <c r="D35" s="6">
        <v>0</v>
      </c>
      <c r="E35" s="6">
        <v>106</v>
      </c>
      <c r="F35" s="38">
        <f t="shared" si="2"/>
        <v>137</v>
      </c>
      <c r="H35" s="7">
        <v>69.319999999999993</v>
      </c>
      <c r="I35" s="7">
        <v>0</v>
      </c>
      <c r="J35" s="7">
        <v>68.069999999999993</v>
      </c>
      <c r="K35" s="7">
        <v>68.349999999999994</v>
      </c>
      <c r="M35" s="34">
        <v>284.35032000000001</v>
      </c>
      <c r="N35" s="34">
        <v>274.63127000000003</v>
      </c>
      <c r="O35" s="34">
        <v>276.80834000000004</v>
      </c>
      <c r="Q35" s="34">
        <v>4211.13</v>
      </c>
      <c r="R35" s="34">
        <v>4158.62</v>
      </c>
      <c r="S35" s="34">
        <v>4170.38</v>
      </c>
    </row>
    <row r="36" spans="1:19" x14ac:dyDescent="0.35">
      <c r="A36" s="112">
        <v>16</v>
      </c>
      <c r="B36" s="6" t="s">
        <v>21</v>
      </c>
      <c r="C36" s="6">
        <v>4</v>
      </c>
      <c r="D36" s="6">
        <v>1</v>
      </c>
      <c r="E36" s="6">
        <v>191</v>
      </c>
      <c r="F36" s="38">
        <f t="shared" si="2"/>
        <v>196</v>
      </c>
      <c r="H36" s="7">
        <v>103.5</v>
      </c>
      <c r="I36" s="7">
        <v>53</v>
      </c>
      <c r="J36" s="7">
        <v>69.63</v>
      </c>
      <c r="K36" s="7">
        <v>69.989999999999995</v>
      </c>
      <c r="M36" s="34">
        <v>220</v>
      </c>
      <c r="N36" s="34">
        <v>248.83251999999999</v>
      </c>
      <c r="O36" s="34">
        <v>248.37120000000002</v>
      </c>
      <c r="Q36" s="34">
        <v>2131.52</v>
      </c>
      <c r="R36" s="34">
        <v>3659.02</v>
      </c>
      <c r="S36" s="34">
        <v>3634.58</v>
      </c>
    </row>
    <row r="37" spans="1:19" x14ac:dyDescent="0.35">
      <c r="A37" s="112">
        <v>17</v>
      </c>
      <c r="B37" s="6" t="s">
        <v>22</v>
      </c>
      <c r="C37" s="6">
        <v>11</v>
      </c>
      <c r="D37" s="6">
        <v>0</v>
      </c>
      <c r="E37" s="6">
        <v>230</v>
      </c>
      <c r="F37" s="38">
        <f t="shared" si="2"/>
        <v>241</v>
      </c>
      <c r="H37" s="7">
        <v>75.67</v>
      </c>
      <c r="I37" s="7">
        <v>0</v>
      </c>
      <c r="J37" s="7">
        <v>65.08</v>
      </c>
      <c r="K37" s="7">
        <v>65.39</v>
      </c>
      <c r="M37" s="34">
        <v>288.08332999999999</v>
      </c>
      <c r="N37" s="34">
        <v>267.25932</v>
      </c>
      <c r="O37" s="34">
        <v>267.93835999999999</v>
      </c>
      <c r="Q37" s="34">
        <v>3591.37</v>
      </c>
      <c r="R37" s="34">
        <v>4134.0600000000004</v>
      </c>
      <c r="S37" s="34">
        <v>4116.3599999999997</v>
      </c>
    </row>
    <row r="38" spans="1:19" x14ac:dyDescent="0.35">
      <c r="A38" s="112">
        <v>18</v>
      </c>
      <c r="B38" s="6" t="s">
        <v>23</v>
      </c>
      <c r="C38" s="6">
        <v>53</v>
      </c>
      <c r="D38" s="6">
        <v>0</v>
      </c>
      <c r="E38" s="6">
        <v>388</v>
      </c>
      <c r="F38" s="38">
        <f t="shared" si="2"/>
        <v>441</v>
      </c>
      <c r="H38" s="7">
        <v>71.05</v>
      </c>
      <c r="I38" s="7">
        <v>0</v>
      </c>
      <c r="J38" s="7">
        <v>68.09</v>
      </c>
      <c r="K38" s="7">
        <v>68.28</v>
      </c>
      <c r="M38" s="34">
        <v>248.42857000000001</v>
      </c>
      <c r="N38" s="34">
        <v>285.29384999999996</v>
      </c>
      <c r="O38" s="34">
        <v>282.73883000000001</v>
      </c>
      <c r="Q38" s="34">
        <v>3254.81</v>
      </c>
      <c r="R38" s="34">
        <v>4270.46</v>
      </c>
      <c r="S38" s="34">
        <v>4200.07</v>
      </c>
    </row>
    <row r="39" spans="1:19" x14ac:dyDescent="0.35">
      <c r="A39" s="112">
        <v>19</v>
      </c>
      <c r="B39" s="6" t="s">
        <v>24</v>
      </c>
      <c r="C39" s="6">
        <v>23</v>
      </c>
      <c r="D39" s="6">
        <v>0</v>
      </c>
      <c r="E39" s="6">
        <v>337</v>
      </c>
      <c r="F39" s="38">
        <f t="shared" si="2"/>
        <v>360</v>
      </c>
      <c r="H39" s="7">
        <v>87.36</v>
      </c>
      <c r="I39" s="7">
        <v>0</v>
      </c>
      <c r="J39" s="7">
        <v>87.75</v>
      </c>
      <c r="K39" s="7">
        <v>87.72</v>
      </c>
      <c r="M39" s="34">
        <v>549.77273000000002</v>
      </c>
      <c r="N39" s="34">
        <v>480.94142999999997</v>
      </c>
      <c r="O39" s="34">
        <v>486.05727000000002</v>
      </c>
      <c r="Q39" s="34">
        <v>6330.39</v>
      </c>
      <c r="R39" s="34">
        <v>5401.1</v>
      </c>
      <c r="S39" s="34">
        <v>5470.17</v>
      </c>
    </row>
    <row r="40" spans="1:19" x14ac:dyDescent="0.35">
      <c r="A40" s="112">
        <v>20</v>
      </c>
      <c r="B40" s="6" t="s">
        <v>25</v>
      </c>
      <c r="C40" s="6">
        <v>0</v>
      </c>
      <c r="D40" s="6">
        <v>0</v>
      </c>
      <c r="E40" s="6">
        <v>159</v>
      </c>
      <c r="F40" s="38">
        <f t="shared" si="2"/>
        <v>159</v>
      </c>
      <c r="H40" s="7">
        <v>0</v>
      </c>
      <c r="I40" s="7">
        <v>0</v>
      </c>
      <c r="J40" s="7">
        <v>85.12</v>
      </c>
      <c r="K40" s="7">
        <v>85.12</v>
      </c>
      <c r="M40" s="34">
        <v>0</v>
      </c>
      <c r="N40" s="34">
        <v>402.26390000000004</v>
      </c>
      <c r="O40" s="34">
        <v>402.26390000000004</v>
      </c>
      <c r="Q40" s="34">
        <v>0</v>
      </c>
      <c r="R40" s="34">
        <v>4774.6000000000004</v>
      </c>
      <c r="S40" s="34">
        <v>4774.6000000000004</v>
      </c>
    </row>
    <row r="41" spans="1:19" x14ac:dyDescent="0.35">
      <c r="A41" s="112">
        <v>21</v>
      </c>
      <c r="B41" s="6" t="s">
        <v>26</v>
      </c>
      <c r="C41" s="6">
        <v>2</v>
      </c>
      <c r="D41" s="6">
        <v>0</v>
      </c>
      <c r="E41" s="6">
        <v>107</v>
      </c>
      <c r="F41" s="38">
        <f t="shared" si="2"/>
        <v>109</v>
      </c>
      <c r="H41" s="7">
        <v>141</v>
      </c>
      <c r="I41" s="7">
        <v>0</v>
      </c>
      <c r="J41" s="7">
        <v>154.27000000000001</v>
      </c>
      <c r="K41" s="7">
        <v>153.99</v>
      </c>
      <c r="M41" s="59" t="s">
        <v>100</v>
      </c>
      <c r="N41" s="34">
        <v>1024.1344899999999</v>
      </c>
      <c r="O41" s="34">
        <v>1020.8019300000001</v>
      </c>
      <c r="Q41" s="59" t="s">
        <v>100</v>
      </c>
      <c r="R41" s="34">
        <v>6519.02</v>
      </c>
      <c r="S41" s="34">
        <v>6510.2</v>
      </c>
    </row>
    <row r="42" spans="1:19" x14ac:dyDescent="0.35">
      <c r="A42" s="112">
        <v>22</v>
      </c>
      <c r="B42" s="6" t="s">
        <v>27</v>
      </c>
      <c r="C42" s="6">
        <v>1</v>
      </c>
      <c r="D42" s="6">
        <v>0</v>
      </c>
      <c r="E42" s="6">
        <v>28</v>
      </c>
      <c r="F42" s="38">
        <f t="shared" si="2"/>
        <v>29</v>
      </c>
      <c r="H42" s="7">
        <v>136</v>
      </c>
      <c r="I42" s="7">
        <v>0</v>
      </c>
      <c r="J42" s="7">
        <v>142.22</v>
      </c>
      <c r="K42" s="7">
        <v>141.88999999999999</v>
      </c>
      <c r="M42" s="59" t="s">
        <v>100</v>
      </c>
      <c r="N42" s="34">
        <v>532.5625</v>
      </c>
      <c r="O42" s="34">
        <v>530.64706000000001</v>
      </c>
      <c r="Q42" s="59" t="s">
        <v>100</v>
      </c>
      <c r="R42" s="34">
        <v>3982.14</v>
      </c>
      <c r="S42" s="34">
        <v>3964.16</v>
      </c>
    </row>
    <row r="43" spans="1:19" x14ac:dyDescent="0.35">
      <c r="A43" s="112">
        <v>23</v>
      </c>
      <c r="B43" s="6" t="s">
        <v>28</v>
      </c>
      <c r="C43" s="6">
        <v>8</v>
      </c>
      <c r="D43" s="6">
        <v>0</v>
      </c>
      <c r="E43" s="6">
        <v>163</v>
      </c>
      <c r="F43" s="38">
        <f t="shared" si="2"/>
        <v>171</v>
      </c>
      <c r="H43" s="7">
        <v>143.63</v>
      </c>
      <c r="I43" s="7">
        <v>0</v>
      </c>
      <c r="J43" s="7">
        <v>116.03</v>
      </c>
      <c r="K43" s="7">
        <v>117.47</v>
      </c>
      <c r="M43" s="34">
        <v>1483.7862500000001</v>
      </c>
      <c r="N43" s="34">
        <v>804.61581000000001</v>
      </c>
      <c r="O43" s="34">
        <v>843.98801000000003</v>
      </c>
      <c r="Q43" s="34">
        <v>10101.67</v>
      </c>
      <c r="R43" s="34">
        <v>6898.37</v>
      </c>
      <c r="S43" s="34">
        <v>7084.07</v>
      </c>
    </row>
    <row r="44" spans="1:19" x14ac:dyDescent="0.35">
      <c r="A44" s="112">
        <v>24</v>
      </c>
      <c r="B44" s="6" t="s">
        <v>29</v>
      </c>
      <c r="C44" s="6">
        <v>3</v>
      </c>
      <c r="D44" s="6">
        <v>0</v>
      </c>
      <c r="E44" s="6">
        <v>127</v>
      </c>
      <c r="F44" s="38">
        <f t="shared" si="2"/>
        <v>130</v>
      </c>
      <c r="H44" s="7">
        <v>177.67</v>
      </c>
      <c r="I44" s="7">
        <v>0</v>
      </c>
      <c r="J44" s="7">
        <v>153.93</v>
      </c>
      <c r="K44" s="7">
        <v>154.55000000000001</v>
      </c>
      <c r="M44" s="34">
        <v>1023.3333299999999</v>
      </c>
      <c r="N44" s="34">
        <v>1029.38563</v>
      </c>
      <c r="O44" s="34">
        <v>1029.21434</v>
      </c>
      <c r="Q44" s="34">
        <v>6022.93</v>
      </c>
      <c r="R44" s="34">
        <v>6684.92</v>
      </c>
      <c r="S44" s="34">
        <v>6666.18</v>
      </c>
    </row>
    <row r="45" spans="1:19" x14ac:dyDescent="0.35">
      <c r="A45" s="112">
        <v>25</v>
      </c>
      <c r="B45" s="6" t="s">
        <v>30</v>
      </c>
      <c r="C45" s="6">
        <v>26</v>
      </c>
      <c r="D45" s="6">
        <v>0</v>
      </c>
      <c r="E45" s="6">
        <v>186</v>
      </c>
      <c r="F45" s="38">
        <f t="shared" si="2"/>
        <v>212</v>
      </c>
      <c r="H45" s="7">
        <v>86.77</v>
      </c>
      <c r="I45" s="7">
        <v>0</v>
      </c>
      <c r="J45" s="7">
        <v>121.86</v>
      </c>
      <c r="K45" s="7">
        <v>117.75</v>
      </c>
      <c r="M45" s="34">
        <v>477.55140999999998</v>
      </c>
      <c r="N45" s="34">
        <v>765.43597999999997</v>
      </c>
      <c r="O45" s="34">
        <v>731.74735999999996</v>
      </c>
      <c r="Q45" s="34">
        <v>5620.52</v>
      </c>
      <c r="R45" s="34">
        <v>6299.69</v>
      </c>
      <c r="S45" s="34">
        <v>6220.21</v>
      </c>
    </row>
    <row r="46" spans="1:19" x14ac:dyDescent="0.35">
      <c r="A46" s="112">
        <v>26</v>
      </c>
      <c r="B46" s="6" t="s">
        <v>31</v>
      </c>
      <c r="C46" s="6">
        <v>25</v>
      </c>
      <c r="D46" s="6">
        <v>0</v>
      </c>
      <c r="E46" s="6">
        <v>423</v>
      </c>
      <c r="F46" s="38">
        <f t="shared" si="2"/>
        <v>448</v>
      </c>
      <c r="H46" s="7">
        <v>148.68</v>
      </c>
      <c r="I46" s="7">
        <v>0</v>
      </c>
      <c r="J46" s="7">
        <v>140.57</v>
      </c>
      <c r="K46" s="7">
        <v>141.01</v>
      </c>
      <c r="M46" s="34">
        <v>827.97721999999999</v>
      </c>
      <c r="N46" s="34">
        <v>871.95418999999993</v>
      </c>
      <c r="O46" s="34">
        <v>869.57119999999998</v>
      </c>
      <c r="Q46" s="34">
        <v>5607.67</v>
      </c>
      <c r="R46" s="34">
        <v>6265.33</v>
      </c>
      <c r="S46" s="34">
        <v>6229.69</v>
      </c>
    </row>
    <row r="47" spans="1:19" x14ac:dyDescent="0.35">
      <c r="A47" s="112">
        <v>27</v>
      </c>
      <c r="B47" s="6" t="s">
        <v>32</v>
      </c>
      <c r="C47" s="6">
        <v>10</v>
      </c>
      <c r="D47" s="6">
        <v>0</v>
      </c>
      <c r="E47" s="6">
        <v>248</v>
      </c>
      <c r="F47" s="38">
        <f t="shared" si="2"/>
        <v>258</v>
      </c>
      <c r="H47" s="7">
        <v>62.8</v>
      </c>
      <c r="I47" s="7">
        <v>0</v>
      </c>
      <c r="J47" s="7">
        <v>102.19</v>
      </c>
      <c r="K47" s="7">
        <v>101.36</v>
      </c>
      <c r="M47" s="34">
        <v>432.11415999999997</v>
      </c>
      <c r="N47" s="34">
        <v>531.04032999999993</v>
      </c>
      <c r="O47" s="34">
        <v>528.92651999999998</v>
      </c>
      <c r="Q47" s="34">
        <v>6761.89</v>
      </c>
      <c r="R47" s="34">
        <v>5374.12</v>
      </c>
      <c r="S47" s="34">
        <v>5403.77</v>
      </c>
    </row>
    <row r="48" spans="1:19" x14ac:dyDescent="0.35">
      <c r="A48" s="112">
        <v>28</v>
      </c>
      <c r="B48" s="6" t="s">
        <v>33</v>
      </c>
      <c r="C48" s="6">
        <v>59</v>
      </c>
      <c r="D48" s="6">
        <v>2</v>
      </c>
      <c r="E48" s="6">
        <v>90</v>
      </c>
      <c r="F48" s="38">
        <f t="shared" si="2"/>
        <v>151</v>
      </c>
      <c r="H48" s="7">
        <v>114.86</v>
      </c>
      <c r="I48" s="7">
        <v>80</v>
      </c>
      <c r="J48" s="7">
        <v>88.19</v>
      </c>
      <c r="K48" s="7">
        <v>98.2</v>
      </c>
      <c r="M48" s="34">
        <v>427.15522999999996</v>
      </c>
      <c r="N48" s="34">
        <v>404.77082999999999</v>
      </c>
      <c r="O48" s="34">
        <v>413.62047999999999</v>
      </c>
      <c r="Q48" s="34">
        <v>3971.66</v>
      </c>
      <c r="R48" s="34">
        <v>4676.68</v>
      </c>
      <c r="S48" s="34">
        <v>4397.95</v>
      </c>
    </row>
    <row r="49" spans="1:19" x14ac:dyDescent="0.35">
      <c r="A49" s="112">
        <v>29</v>
      </c>
      <c r="B49" s="6" t="s">
        <v>34</v>
      </c>
      <c r="C49" s="6">
        <v>14</v>
      </c>
      <c r="D49" s="6">
        <v>1</v>
      </c>
      <c r="E49" s="6">
        <v>51</v>
      </c>
      <c r="F49" s="38">
        <f t="shared" si="2"/>
        <v>66</v>
      </c>
      <c r="H49" s="7">
        <v>64.14</v>
      </c>
      <c r="I49" s="7">
        <v>58</v>
      </c>
      <c r="J49" s="7">
        <v>73.150000000000006</v>
      </c>
      <c r="K49" s="7">
        <v>70.91</v>
      </c>
      <c r="M49" s="34">
        <v>231.35720999999998</v>
      </c>
      <c r="N49" s="34">
        <v>271.98392999999999</v>
      </c>
      <c r="O49" s="34">
        <v>262.50435999999996</v>
      </c>
      <c r="Q49" s="34">
        <v>3636.65</v>
      </c>
      <c r="R49" s="34">
        <v>3611.53</v>
      </c>
      <c r="S49" s="34">
        <v>3617.39</v>
      </c>
    </row>
    <row r="50" spans="1:19" x14ac:dyDescent="0.35">
      <c r="A50" s="112">
        <v>30</v>
      </c>
      <c r="B50" s="6" t="s">
        <v>35</v>
      </c>
      <c r="C50" s="6">
        <v>4</v>
      </c>
      <c r="D50" s="6">
        <v>0</v>
      </c>
      <c r="E50" s="6">
        <v>124</v>
      </c>
      <c r="F50" s="38">
        <f t="shared" si="2"/>
        <v>128</v>
      </c>
      <c r="H50" s="7">
        <v>83.75</v>
      </c>
      <c r="I50" s="7">
        <v>0</v>
      </c>
      <c r="J50" s="7">
        <v>88.09</v>
      </c>
      <c r="K50" s="7">
        <v>87.95</v>
      </c>
      <c r="M50" s="34">
        <v>517.5</v>
      </c>
      <c r="N50" s="34">
        <v>395.29364000000004</v>
      </c>
      <c r="O50" s="34">
        <v>399.36718999999999</v>
      </c>
      <c r="Q50" s="34">
        <v>6126.08</v>
      </c>
      <c r="R50" s="34">
        <v>4543.75</v>
      </c>
      <c r="S50" s="34">
        <v>4596.49</v>
      </c>
    </row>
    <row r="51" spans="1:19" x14ac:dyDescent="0.35">
      <c r="A51" s="112">
        <v>31</v>
      </c>
      <c r="B51" s="6" t="s">
        <v>36</v>
      </c>
      <c r="C51" s="6">
        <v>7</v>
      </c>
      <c r="D51" s="6">
        <v>0</v>
      </c>
      <c r="E51" s="6">
        <v>470</v>
      </c>
      <c r="F51" s="38">
        <f t="shared" si="2"/>
        <v>477</v>
      </c>
      <c r="H51" s="7">
        <v>91.75</v>
      </c>
      <c r="I51" s="7">
        <v>0</v>
      </c>
      <c r="J51" s="7">
        <v>79.2</v>
      </c>
      <c r="K51" s="7">
        <v>79.319999999999993</v>
      </c>
      <c r="M51" s="34">
        <v>1147.2090000000001</v>
      </c>
      <c r="N51" s="34">
        <v>405.52876000000003</v>
      </c>
      <c r="O51" s="34">
        <v>412.69475</v>
      </c>
      <c r="Q51" s="34">
        <v>9249.27</v>
      </c>
      <c r="R51" s="34">
        <v>5229.09</v>
      </c>
      <c r="S51" s="34">
        <v>5267.93</v>
      </c>
    </row>
    <row r="52" spans="1:19" x14ac:dyDescent="0.35">
      <c r="A52" s="112">
        <v>32</v>
      </c>
      <c r="B52" s="6" t="s">
        <v>37</v>
      </c>
      <c r="C52" s="6">
        <v>3</v>
      </c>
      <c r="D52" s="6">
        <v>0</v>
      </c>
      <c r="E52" s="6">
        <v>296</v>
      </c>
      <c r="F52" s="38">
        <f t="shared" si="2"/>
        <v>299</v>
      </c>
      <c r="H52" s="7">
        <v>80</v>
      </c>
      <c r="I52" s="7">
        <v>0</v>
      </c>
      <c r="J52" s="7">
        <v>75.739999999999995</v>
      </c>
      <c r="K52" s="7">
        <v>75.790000000000006</v>
      </c>
      <c r="M52" s="34">
        <v>411.66667000000001</v>
      </c>
      <c r="N52" s="34">
        <v>369.46393999999998</v>
      </c>
      <c r="O52" s="34">
        <v>369.93813</v>
      </c>
      <c r="Q52" s="34">
        <v>5256.41</v>
      </c>
      <c r="R52" s="34">
        <v>5008.95</v>
      </c>
      <c r="S52" s="34">
        <v>5011.7299999999996</v>
      </c>
    </row>
    <row r="53" spans="1:19" x14ac:dyDescent="0.35">
      <c r="A53" s="112">
        <v>33</v>
      </c>
      <c r="B53" s="6" t="s">
        <v>38</v>
      </c>
      <c r="C53" s="6">
        <v>5</v>
      </c>
      <c r="D53" s="6">
        <v>0</v>
      </c>
      <c r="E53" s="6">
        <v>170</v>
      </c>
      <c r="F53" s="38">
        <f t="shared" si="2"/>
        <v>175</v>
      </c>
      <c r="H53" s="7">
        <v>55.2</v>
      </c>
      <c r="I53" s="7">
        <v>0</v>
      </c>
      <c r="J53" s="7">
        <v>69.900000000000006</v>
      </c>
      <c r="K53" s="7">
        <v>69.44</v>
      </c>
      <c r="M53" s="34">
        <v>229.2</v>
      </c>
      <c r="N53" s="34">
        <v>300.26096000000001</v>
      </c>
      <c r="O53" s="34">
        <v>298.0403</v>
      </c>
      <c r="Q53" s="34">
        <v>4169.45</v>
      </c>
      <c r="R53" s="34">
        <v>4300.59</v>
      </c>
      <c r="S53" s="34">
        <v>4296.49</v>
      </c>
    </row>
    <row r="54" spans="1:19" x14ac:dyDescent="0.35">
      <c r="A54" s="112">
        <v>34</v>
      </c>
      <c r="B54" s="6" t="s">
        <v>39</v>
      </c>
      <c r="C54" s="6">
        <v>0</v>
      </c>
      <c r="D54" s="6">
        <v>0</v>
      </c>
      <c r="E54" s="6">
        <v>75</v>
      </c>
      <c r="F54" s="38">
        <f t="shared" si="2"/>
        <v>75</v>
      </c>
      <c r="H54" s="7">
        <v>0</v>
      </c>
      <c r="I54" s="7">
        <v>0</v>
      </c>
      <c r="J54" s="7">
        <v>63.26</v>
      </c>
      <c r="K54" s="7">
        <v>63.26</v>
      </c>
      <c r="M54" s="34">
        <v>0</v>
      </c>
      <c r="N54" s="34">
        <v>211.64418000000001</v>
      </c>
      <c r="O54" s="34">
        <v>211.64418000000001</v>
      </c>
      <c r="Q54" s="34">
        <v>0</v>
      </c>
      <c r="R54" s="34">
        <v>3247.63</v>
      </c>
      <c r="S54" s="34">
        <v>3247.63</v>
      </c>
    </row>
    <row r="55" spans="1:19" x14ac:dyDescent="0.35">
      <c r="A55" s="112">
        <v>35</v>
      </c>
      <c r="B55" s="6" t="s">
        <v>40</v>
      </c>
      <c r="C55" s="6">
        <v>74</v>
      </c>
      <c r="D55" s="6">
        <v>0</v>
      </c>
      <c r="E55" s="6">
        <v>310</v>
      </c>
      <c r="F55" s="38">
        <f t="shared" si="2"/>
        <v>384</v>
      </c>
      <c r="H55" s="7">
        <v>76.959999999999994</v>
      </c>
      <c r="I55" s="7">
        <v>0</v>
      </c>
      <c r="J55" s="7">
        <v>71.2</v>
      </c>
      <c r="K55" s="7">
        <v>72.36</v>
      </c>
      <c r="M55" s="34">
        <v>415.17678999999998</v>
      </c>
      <c r="N55" s="34">
        <v>267.97386999999998</v>
      </c>
      <c r="O55" s="34">
        <v>297.67653999999999</v>
      </c>
      <c r="Q55" s="34">
        <v>5502.44</v>
      </c>
      <c r="R55" s="34">
        <v>3875.86</v>
      </c>
      <c r="S55" s="34">
        <v>4204.07</v>
      </c>
    </row>
    <row r="56" spans="1:19" x14ac:dyDescent="0.35">
      <c r="A56" s="112">
        <v>36</v>
      </c>
      <c r="B56" s="6" t="s">
        <v>41</v>
      </c>
      <c r="C56" s="6">
        <v>33</v>
      </c>
      <c r="D56" s="6">
        <v>0</v>
      </c>
      <c r="E56" s="6">
        <v>70</v>
      </c>
      <c r="F56" s="38">
        <f t="shared" si="2"/>
        <v>103</v>
      </c>
      <c r="H56" s="7">
        <v>86.24</v>
      </c>
      <c r="I56" s="7">
        <v>0</v>
      </c>
      <c r="J56" s="7">
        <v>88.69</v>
      </c>
      <c r="K56" s="7">
        <v>87.84</v>
      </c>
      <c r="M56" s="34">
        <v>457.63439</v>
      </c>
      <c r="N56" s="34">
        <v>319.95393000000001</v>
      </c>
      <c r="O56" s="34">
        <v>368.28856000000002</v>
      </c>
      <c r="Q56" s="34">
        <v>5878.78</v>
      </c>
      <c r="R56" s="34">
        <v>3866.67</v>
      </c>
      <c r="S56" s="34">
        <v>4573.05</v>
      </c>
    </row>
    <row r="57" spans="1:19" x14ac:dyDescent="0.35">
      <c r="A57" s="112">
        <v>37</v>
      </c>
      <c r="B57" s="6" t="s">
        <v>42</v>
      </c>
      <c r="C57" s="6">
        <v>91</v>
      </c>
      <c r="D57" s="6">
        <v>6</v>
      </c>
      <c r="E57" s="6">
        <v>255</v>
      </c>
      <c r="F57" s="38">
        <f t="shared" si="2"/>
        <v>352</v>
      </c>
      <c r="H57" s="7">
        <v>64.349999999999994</v>
      </c>
      <c r="I57" s="7">
        <v>76</v>
      </c>
      <c r="J57" s="7">
        <v>62.02</v>
      </c>
      <c r="K57" s="7">
        <v>62.85</v>
      </c>
      <c r="M57" s="34">
        <v>177.35405</v>
      </c>
      <c r="N57" s="34">
        <v>173.0129</v>
      </c>
      <c r="O57" s="34">
        <v>174.19810000000001</v>
      </c>
      <c r="Q57" s="34">
        <v>2836.94</v>
      </c>
      <c r="R57" s="34">
        <v>2846.26</v>
      </c>
      <c r="S57" s="34">
        <v>2843.72</v>
      </c>
    </row>
    <row r="58" spans="1:19" x14ac:dyDescent="0.35">
      <c r="A58" s="112">
        <v>38</v>
      </c>
      <c r="B58" s="6" t="s">
        <v>43</v>
      </c>
      <c r="C58" s="6">
        <v>64</v>
      </c>
      <c r="D58" s="6">
        <v>1</v>
      </c>
      <c r="E58" s="6">
        <v>95</v>
      </c>
      <c r="F58" s="38">
        <f t="shared" si="2"/>
        <v>160</v>
      </c>
      <c r="H58" s="7">
        <v>54.66</v>
      </c>
      <c r="I58" s="7">
        <v>44</v>
      </c>
      <c r="J58" s="7">
        <v>61.4</v>
      </c>
      <c r="K58" s="7">
        <v>58.6</v>
      </c>
      <c r="M58" s="34">
        <v>143.20339000000001</v>
      </c>
      <c r="N58" s="34">
        <v>192.05602999999999</v>
      </c>
      <c r="O58" s="34">
        <v>172.31421</v>
      </c>
      <c r="Q58" s="34">
        <v>2598.17</v>
      </c>
      <c r="R58" s="34">
        <v>3141.87</v>
      </c>
      <c r="S58" s="34">
        <v>2922.16</v>
      </c>
    </row>
    <row r="59" spans="1:19" x14ac:dyDescent="0.35">
      <c r="A59" s="112">
        <v>39</v>
      </c>
      <c r="B59" s="6" t="s">
        <v>44</v>
      </c>
      <c r="C59" s="6">
        <v>36</v>
      </c>
      <c r="D59" s="6">
        <v>1</v>
      </c>
      <c r="E59" s="6">
        <v>38</v>
      </c>
      <c r="F59" s="38">
        <f t="shared" si="2"/>
        <v>75</v>
      </c>
      <c r="H59" s="7">
        <v>70.81</v>
      </c>
      <c r="I59" s="7">
        <v>67</v>
      </c>
      <c r="J59" s="7">
        <v>76.13</v>
      </c>
      <c r="K59" s="7">
        <v>73.819999999999993</v>
      </c>
      <c r="M59" s="34">
        <v>219.23333</v>
      </c>
      <c r="N59" s="34">
        <v>224.74323999999999</v>
      </c>
      <c r="O59" s="34">
        <v>222.41874999999999</v>
      </c>
      <c r="Q59" s="34">
        <v>3046.58</v>
      </c>
      <c r="R59" s="34">
        <v>2909.23</v>
      </c>
      <c r="S59" s="34">
        <v>2967.17</v>
      </c>
    </row>
    <row r="60" spans="1:19" x14ac:dyDescent="0.35">
      <c r="A60" s="112">
        <v>40</v>
      </c>
      <c r="B60" s="6" t="s">
        <v>45</v>
      </c>
      <c r="C60" s="6">
        <v>13</v>
      </c>
      <c r="D60" s="6">
        <v>1</v>
      </c>
      <c r="E60" s="6">
        <v>35</v>
      </c>
      <c r="F60" s="38">
        <f t="shared" si="2"/>
        <v>49</v>
      </c>
      <c r="H60" s="7">
        <v>64.599999999999994</v>
      </c>
      <c r="I60" s="7">
        <v>0</v>
      </c>
      <c r="J60" s="7">
        <v>62.91</v>
      </c>
      <c r="K60" s="7">
        <v>63.31</v>
      </c>
      <c r="M60" s="34">
        <v>183.41</v>
      </c>
      <c r="N60" s="34">
        <v>192.45417</v>
      </c>
      <c r="O60" s="34">
        <v>190.19313</v>
      </c>
      <c r="Q60" s="34">
        <v>2975.29</v>
      </c>
      <c r="R60" s="34">
        <v>3079.46</v>
      </c>
      <c r="S60" s="34">
        <v>3053.42</v>
      </c>
    </row>
    <row r="61" spans="1:19" x14ac:dyDescent="0.35">
      <c r="A61" s="112">
        <v>41</v>
      </c>
      <c r="B61" s="6" t="s">
        <v>46</v>
      </c>
      <c r="C61" s="6">
        <v>5</v>
      </c>
      <c r="D61" s="6">
        <v>1</v>
      </c>
      <c r="E61" s="6">
        <v>18</v>
      </c>
      <c r="F61" s="38">
        <f t="shared" si="2"/>
        <v>24</v>
      </c>
      <c r="H61" s="7">
        <v>54.8</v>
      </c>
      <c r="I61" s="7">
        <v>64</v>
      </c>
      <c r="J61" s="7">
        <v>64.25</v>
      </c>
      <c r="K61" s="7">
        <v>62.09</v>
      </c>
      <c r="M61" s="34">
        <v>222.42583999999999</v>
      </c>
      <c r="N61" s="34">
        <v>276.86667</v>
      </c>
      <c r="O61" s="34">
        <v>263.25646</v>
      </c>
      <c r="Q61" s="34">
        <v>4312.99</v>
      </c>
      <c r="R61" s="34">
        <v>4386.04</v>
      </c>
      <c r="S61" s="34">
        <v>4367.78</v>
      </c>
    </row>
    <row r="62" spans="1:19" x14ac:dyDescent="0.35">
      <c r="A62" s="112">
        <v>42</v>
      </c>
      <c r="B62" s="6" t="s">
        <v>47</v>
      </c>
      <c r="C62" s="6">
        <v>54</v>
      </c>
      <c r="D62" s="6">
        <v>1</v>
      </c>
      <c r="E62" s="6">
        <v>3</v>
      </c>
      <c r="F62" s="38">
        <f t="shared" si="2"/>
        <v>58</v>
      </c>
      <c r="H62" s="7">
        <v>93.67</v>
      </c>
      <c r="I62" s="7">
        <v>0</v>
      </c>
      <c r="J62" s="7">
        <v>91.33</v>
      </c>
      <c r="K62" s="7">
        <v>93.54</v>
      </c>
      <c r="M62" s="34">
        <v>400.02481</v>
      </c>
      <c r="N62" s="34">
        <v>389.66667000000001</v>
      </c>
      <c r="O62" s="34">
        <v>399.45981999999998</v>
      </c>
      <c r="Q62" s="34">
        <v>4228.54</v>
      </c>
      <c r="R62" s="34">
        <v>3639.68</v>
      </c>
      <c r="S62" s="34">
        <v>4196.42</v>
      </c>
    </row>
    <row r="63" spans="1:19" x14ac:dyDescent="0.35">
      <c r="A63" s="112">
        <v>43</v>
      </c>
      <c r="B63" s="6" t="s">
        <v>48</v>
      </c>
      <c r="C63" s="6">
        <v>66</v>
      </c>
      <c r="D63" s="6">
        <v>19</v>
      </c>
      <c r="E63" s="6">
        <v>176</v>
      </c>
      <c r="F63" s="38">
        <f t="shared" si="2"/>
        <v>261</v>
      </c>
      <c r="H63" s="7">
        <v>79.540000000000006</v>
      </c>
      <c r="I63" s="7">
        <v>69.89</v>
      </c>
      <c r="J63" s="7">
        <v>69.81</v>
      </c>
      <c r="K63" s="7">
        <v>72.39</v>
      </c>
      <c r="M63" s="34">
        <v>345.25603000000001</v>
      </c>
      <c r="N63" s="34">
        <v>272.43509999999998</v>
      </c>
      <c r="O63" s="34">
        <v>296.20565999999997</v>
      </c>
      <c r="Q63" s="34">
        <v>4319.71</v>
      </c>
      <c r="R63" s="34">
        <v>3814.53</v>
      </c>
      <c r="S63" s="34">
        <v>3979.43</v>
      </c>
    </row>
    <row r="64" spans="1:19" x14ac:dyDescent="0.35">
      <c r="A64" s="112">
        <v>44</v>
      </c>
      <c r="B64" s="6" t="s">
        <v>49</v>
      </c>
      <c r="C64" s="6">
        <v>3</v>
      </c>
      <c r="D64" s="6">
        <v>0</v>
      </c>
      <c r="E64" s="6">
        <v>169</v>
      </c>
      <c r="F64" s="38">
        <f t="shared" si="2"/>
        <v>172</v>
      </c>
      <c r="H64" s="7">
        <v>69.5</v>
      </c>
      <c r="I64" s="7">
        <v>0</v>
      </c>
      <c r="J64" s="7">
        <v>71.819999999999993</v>
      </c>
      <c r="K64" s="7">
        <v>71.790000000000006</v>
      </c>
      <c r="M64" s="34">
        <v>459</v>
      </c>
      <c r="N64" s="34">
        <v>241.66845000000001</v>
      </c>
      <c r="O64" s="34">
        <v>244.58564999999999</v>
      </c>
      <c r="Q64" s="34">
        <v>7168.99</v>
      </c>
      <c r="R64" s="34">
        <v>3498.4</v>
      </c>
      <c r="S64" s="34">
        <v>3547.67</v>
      </c>
    </row>
    <row r="65" spans="1:19" x14ac:dyDescent="0.35">
      <c r="A65" s="112">
        <v>45</v>
      </c>
      <c r="B65" s="6" t="s">
        <v>50</v>
      </c>
      <c r="C65" s="6">
        <v>2</v>
      </c>
      <c r="D65" s="6">
        <v>0</v>
      </c>
      <c r="E65" s="6">
        <v>196</v>
      </c>
      <c r="F65" s="38">
        <f t="shared" si="2"/>
        <v>198</v>
      </c>
      <c r="H65" s="7">
        <v>65.5</v>
      </c>
      <c r="I65" s="7">
        <v>0</v>
      </c>
      <c r="J65" s="7">
        <v>65.489999999999995</v>
      </c>
      <c r="K65" s="7">
        <v>65.489999999999995</v>
      </c>
      <c r="M65" s="59" t="s">
        <v>100</v>
      </c>
      <c r="N65" s="34">
        <v>211.30891</v>
      </c>
      <c r="O65" s="34">
        <v>210.13811999999999</v>
      </c>
      <c r="Q65" s="59" t="s">
        <v>100</v>
      </c>
      <c r="R65" s="34">
        <v>3277.3</v>
      </c>
      <c r="S65" s="34">
        <v>3258.8</v>
      </c>
    </row>
    <row r="66" spans="1:19" x14ac:dyDescent="0.35">
      <c r="A66" s="112">
        <v>46</v>
      </c>
      <c r="B66" s="6" t="s">
        <v>51</v>
      </c>
      <c r="C66" s="6">
        <v>2</v>
      </c>
      <c r="D66" s="6">
        <v>0</v>
      </c>
      <c r="E66" s="6">
        <v>187</v>
      </c>
      <c r="F66" s="38">
        <f t="shared" si="2"/>
        <v>189</v>
      </c>
      <c r="H66" s="7">
        <v>61.5</v>
      </c>
      <c r="I66" s="7">
        <v>0</v>
      </c>
      <c r="J66" s="7">
        <v>62.41</v>
      </c>
      <c r="K66" s="7">
        <v>62.4</v>
      </c>
      <c r="M66" s="59" t="s">
        <v>100</v>
      </c>
      <c r="N66" s="34">
        <v>162.42142999999999</v>
      </c>
      <c r="O66" s="34">
        <v>163.28389000000001</v>
      </c>
      <c r="Q66" s="59" t="s">
        <v>100</v>
      </c>
      <c r="R66" s="34">
        <v>2599.86</v>
      </c>
      <c r="S66" s="34">
        <v>2620.2199999999998</v>
      </c>
    </row>
    <row r="67" spans="1:19" x14ac:dyDescent="0.35">
      <c r="A67" s="112">
        <v>47</v>
      </c>
      <c r="B67" s="6" t="s">
        <v>52</v>
      </c>
      <c r="C67" s="6">
        <v>0</v>
      </c>
      <c r="D67" s="6">
        <v>0</v>
      </c>
      <c r="E67" s="6">
        <v>5</v>
      </c>
      <c r="F67" s="38">
        <f t="shared" si="2"/>
        <v>5</v>
      </c>
      <c r="H67" s="7">
        <v>0</v>
      </c>
      <c r="I67" s="7">
        <v>0</v>
      </c>
      <c r="J67" s="7">
        <v>72.67</v>
      </c>
      <c r="K67" s="7">
        <v>72.67</v>
      </c>
      <c r="M67" s="34">
        <v>0</v>
      </c>
      <c r="N67" s="34">
        <v>204.66667000000001</v>
      </c>
      <c r="O67" s="34">
        <v>204.66667000000001</v>
      </c>
      <c r="Q67" s="34">
        <v>0</v>
      </c>
      <c r="R67" s="34">
        <v>2771.56</v>
      </c>
      <c r="S67" s="34">
        <v>2771.56</v>
      </c>
    </row>
    <row r="68" spans="1:19" x14ac:dyDescent="0.35">
      <c r="A68" s="112">
        <v>48</v>
      </c>
      <c r="B68" s="6" t="s">
        <v>53</v>
      </c>
      <c r="C68" s="6">
        <v>0</v>
      </c>
      <c r="D68" s="6">
        <v>0</v>
      </c>
      <c r="E68" s="6">
        <v>86</v>
      </c>
      <c r="F68" s="38">
        <f t="shared" si="2"/>
        <v>86</v>
      </c>
      <c r="H68" s="7">
        <v>0</v>
      </c>
      <c r="I68" s="7">
        <v>0</v>
      </c>
      <c r="J68" s="7">
        <v>73.3</v>
      </c>
      <c r="K68" s="7">
        <v>73.3</v>
      </c>
      <c r="M68" s="34">
        <v>0</v>
      </c>
      <c r="N68" s="34">
        <v>223.37926000000002</v>
      </c>
      <c r="O68" s="34">
        <v>223.37926000000002</v>
      </c>
      <c r="Q68" s="34">
        <v>0</v>
      </c>
      <c r="R68" s="34">
        <v>3109.45</v>
      </c>
      <c r="S68" s="34">
        <v>3109.45</v>
      </c>
    </row>
    <row r="69" spans="1:19" x14ac:dyDescent="0.35">
      <c r="A69" s="112">
        <v>49</v>
      </c>
      <c r="B69" s="6" t="s">
        <v>54</v>
      </c>
      <c r="C69" s="6">
        <v>0</v>
      </c>
      <c r="D69" s="6">
        <v>0</v>
      </c>
      <c r="E69" s="6">
        <v>31</v>
      </c>
      <c r="F69" s="38">
        <f t="shared" si="2"/>
        <v>31</v>
      </c>
      <c r="H69" s="7">
        <v>0</v>
      </c>
      <c r="I69" s="7">
        <v>0</v>
      </c>
      <c r="J69" s="7">
        <v>68.88</v>
      </c>
      <c r="K69" s="7">
        <v>68.88</v>
      </c>
      <c r="M69" s="34">
        <v>0</v>
      </c>
      <c r="N69" s="34">
        <v>190.46091000000001</v>
      </c>
      <c r="O69" s="34">
        <v>190.46091000000001</v>
      </c>
      <c r="Q69" s="34">
        <v>0</v>
      </c>
      <c r="R69" s="34">
        <v>2870.61</v>
      </c>
      <c r="S69" s="34">
        <v>2870.61</v>
      </c>
    </row>
    <row r="70" spans="1:19" x14ac:dyDescent="0.35">
      <c r="A70" s="112">
        <v>50</v>
      </c>
      <c r="B70" s="6" t="s">
        <v>55</v>
      </c>
      <c r="C70" s="6">
        <v>0</v>
      </c>
      <c r="D70" s="6">
        <v>0</v>
      </c>
      <c r="E70" s="6">
        <v>191</v>
      </c>
      <c r="F70" s="38">
        <f t="shared" si="2"/>
        <v>191</v>
      </c>
      <c r="H70" s="7">
        <v>0</v>
      </c>
      <c r="I70" s="7">
        <v>0</v>
      </c>
      <c r="J70" s="7">
        <v>60.82</v>
      </c>
      <c r="K70" s="7">
        <v>60.82</v>
      </c>
      <c r="M70" s="34">
        <v>0</v>
      </c>
      <c r="N70" s="34">
        <v>133.69901999999999</v>
      </c>
      <c r="O70" s="34">
        <v>133.69901999999999</v>
      </c>
      <c r="Q70" s="34">
        <v>0</v>
      </c>
      <c r="R70" s="34">
        <v>2321.3200000000002</v>
      </c>
      <c r="S70" s="34">
        <v>2321.3200000000002</v>
      </c>
    </row>
    <row r="71" spans="1:19" x14ac:dyDescent="0.35">
      <c r="A71" s="112">
        <v>51</v>
      </c>
      <c r="B71" s="6" t="s">
        <v>56</v>
      </c>
      <c r="C71" s="6">
        <v>1</v>
      </c>
      <c r="D71" s="6">
        <v>0</v>
      </c>
      <c r="E71" s="6">
        <v>139</v>
      </c>
      <c r="F71" s="38">
        <f t="shared" si="2"/>
        <v>140</v>
      </c>
      <c r="H71" s="7">
        <v>66</v>
      </c>
      <c r="I71" s="7">
        <v>0</v>
      </c>
      <c r="J71" s="7">
        <v>57.65</v>
      </c>
      <c r="K71" s="7">
        <v>57.71</v>
      </c>
      <c r="M71" s="59" t="s">
        <v>100</v>
      </c>
      <c r="N71" s="34">
        <v>154.71384</v>
      </c>
      <c r="O71" s="34">
        <v>155.11742000000001</v>
      </c>
      <c r="Q71" s="59" t="s">
        <v>100</v>
      </c>
      <c r="R71" s="34">
        <v>2754.42</v>
      </c>
      <c r="S71" s="34">
        <v>2755.41</v>
      </c>
    </row>
    <row r="72" spans="1:19" x14ac:dyDescent="0.35">
      <c r="A72" s="112">
        <v>52</v>
      </c>
      <c r="B72" s="6" t="s">
        <v>57</v>
      </c>
      <c r="C72" s="6">
        <v>7</v>
      </c>
      <c r="D72" s="6">
        <v>0</v>
      </c>
      <c r="E72" s="6">
        <v>288</v>
      </c>
      <c r="F72" s="38">
        <f t="shared" si="2"/>
        <v>295</v>
      </c>
      <c r="H72" s="7">
        <v>84.75</v>
      </c>
      <c r="I72" s="7">
        <v>0</v>
      </c>
      <c r="J72" s="7">
        <v>60.32</v>
      </c>
      <c r="K72" s="7">
        <v>60.69</v>
      </c>
      <c r="M72" s="34">
        <v>262.82499999999999</v>
      </c>
      <c r="N72" s="34">
        <v>172.91037</v>
      </c>
      <c r="O72" s="34">
        <v>174.33759000000001</v>
      </c>
      <c r="Q72" s="34">
        <v>3779.6</v>
      </c>
      <c r="R72" s="34">
        <v>2925.16</v>
      </c>
      <c r="S72" s="34">
        <v>2938.72</v>
      </c>
    </row>
    <row r="73" spans="1:19" x14ac:dyDescent="0.35">
      <c r="A73" s="112">
        <v>53</v>
      </c>
      <c r="B73" s="6" t="s">
        <v>58</v>
      </c>
      <c r="C73" s="6">
        <v>0</v>
      </c>
      <c r="D73" s="6">
        <v>0</v>
      </c>
      <c r="E73" s="6">
        <v>91</v>
      </c>
      <c r="F73" s="38">
        <f t="shared" si="2"/>
        <v>91</v>
      </c>
      <c r="H73" s="7">
        <v>0</v>
      </c>
      <c r="I73" s="7">
        <v>0</v>
      </c>
      <c r="J73" s="7">
        <v>61.61</v>
      </c>
      <c r="K73" s="7">
        <v>61.61</v>
      </c>
      <c r="M73" s="34">
        <v>0</v>
      </c>
      <c r="N73" s="34">
        <v>129.87632000000002</v>
      </c>
      <c r="O73" s="34">
        <v>129.87632000000002</v>
      </c>
      <c r="Q73" s="34">
        <v>0</v>
      </c>
      <c r="R73" s="34">
        <v>2203.52</v>
      </c>
      <c r="S73" s="34">
        <v>2203.52</v>
      </c>
    </row>
    <row r="74" spans="1:19" x14ac:dyDescent="0.35">
      <c r="A74" s="112">
        <v>54</v>
      </c>
      <c r="B74" s="6" t="s">
        <v>59</v>
      </c>
      <c r="C74" s="6">
        <v>0</v>
      </c>
      <c r="D74" s="6">
        <v>0</v>
      </c>
      <c r="E74" s="6">
        <v>16</v>
      </c>
      <c r="F74" s="38">
        <f t="shared" si="2"/>
        <v>16</v>
      </c>
      <c r="H74" s="7">
        <v>0</v>
      </c>
      <c r="I74" s="7">
        <v>0</v>
      </c>
      <c r="J74" s="7">
        <v>89.08</v>
      </c>
      <c r="K74" s="7">
        <v>89.08</v>
      </c>
      <c r="M74" s="34">
        <v>0</v>
      </c>
      <c r="N74" s="34">
        <v>139.84882000000002</v>
      </c>
      <c r="O74" s="34">
        <v>139.84882000000002</v>
      </c>
      <c r="Q74" s="34">
        <v>0</v>
      </c>
      <c r="R74" s="34">
        <v>1730.8</v>
      </c>
      <c r="S74" s="34">
        <v>1730.8</v>
      </c>
    </row>
    <row r="75" spans="1:19" x14ac:dyDescent="0.35">
      <c r="A75" s="112">
        <v>55</v>
      </c>
      <c r="B75" s="6" t="s">
        <v>60</v>
      </c>
      <c r="C75" s="6">
        <v>0</v>
      </c>
      <c r="D75" s="6">
        <v>0</v>
      </c>
      <c r="E75" s="6">
        <v>169</v>
      </c>
      <c r="F75" s="38">
        <f t="shared" si="2"/>
        <v>169</v>
      </c>
      <c r="H75" s="7">
        <v>0</v>
      </c>
      <c r="I75" s="7">
        <v>0</v>
      </c>
      <c r="J75" s="7">
        <v>59.99</v>
      </c>
      <c r="K75" s="7">
        <v>59.99</v>
      </c>
      <c r="M75" s="34">
        <v>0</v>
      </c>
      <c r="N75" s="34">
        <v>111.30507</v>
      </c>
      <c r="O75" s="34">
        <v>111.30507</v>
      </c>
      <c r="Q75" s="34">
        <v>0</v>
      </c>
      <c r="R75" s="34">
        <v>1886.05</v>
      </c>
      <c r="S75" s="34">
        <v>1886.05</v>
      </c>
    </row>
    <row r="76" spans="1:19" x14ac:dyDescent="0.35">
      <c r="A76" s="112">
        <v>56</v>
      </c>
      <c r="B76" s="6" t="s">
        <v>78</v>
      </c>
      <c r="C76" s="6">
        <v>0</v>
      </c>
      <c r="D76" s="6">
        <v>0</v>
      </c>
      <c r="E76" s="6">
        <v>5</v>
      </c>
      <c r="F76" s="38">
        <f t="shared" si="2"/>
        <v>5</v>
      </c>
      <c r="H76" s="7">
        <v>0</v>
      </c>
      <c r="I76" s="7">
        <v>0</v>
      </c>
      <c r="J76" s="7">
        <v>79.5</v>
      </c>
      <c r="K76" s="7">
        <v>79.5</v>
      </c>
      <c r="M76" s="34">
        <v>0</v>
      </c>
      <c r="N76" s="34">
        <v>218.75</v>
      </c>
      <c r="O76" s="34">
        <v>218.75</v>
      </c>
      <c r="Q76" s="34">
        <v>0</v>
      </c>
      <c r="R76" s="34">
        <v>2605.56</v>
      </c>
      <c r="S76" s="34">
        <v>2605.56</v>
      </c>
    </row>
    <row r="77" spans="1:19" x14ac:dyDescent="0.35">
      <c r="A77" s="112">
        <v>57</v>
      </c>
      <c r="B77" s="6" t="s">
        <v>61</v>
      </c>
      <c r="C77" s="6">
        <v>9</v>
      </c>
      <c r="D77" s="6">
        <v>0</v>
      </c>
      <c r="E77" s="6">
        <v>147</v>
      </c>
      <c r="F77" s="38">
        <f t="shared" si="2"/>
        <v>156</v>
      </c>
      <c r="H77" s="7">
        <v>54.5</v>
      </c>
      <c r="I77" s="7">
        <v>0</v>
      </c>
      <c r="J77" s="7">
        <v>60.84</v>
      </c>
      <c r="K77" s="7">
        <v>60.49</v>
      </c>
      <c r="M77" s="34">
        <v>224.12679999999997</v>
      </c>
      <c r="N77" s="34">
        <v>123.21127</v>
      </c>
      <c r="O77" s="34">
        <v>129.66986</v>
      </c>
      <c r="Q77" s="34">
        <v>4107.33</v>
      </c>
      <c r="R77" s="34">
        <v>2141.7199999999998</v>
      </c>
      <c r="S77" s="34">
        <v>2267.52</v>
      </c>
    </row>
    <row r="78" spans="1:19" x14ac:dyDescent="0.35">
      <c r="A78" s="112">
        <v>58</v>
      </c>
      <c r="B78" s="6" t="s">
        <v>62</v>
      </c>
      <c r="C78" s="6">
        <v>0</v>
      </c>
      <c r="D78" s="6">
        <v>0</v>
      </c>
      <c r="E78" s="6">
        <v>28</v>
      </c>
      <c r="F78" s="38">
        <f t="shared" si="2"/>
        <v>28</v>
      </c>
      <c r="H78" s="7">
        <v>0</v>
      </c>
      <c r="I78" s="7">
        <v>0</v>
      </c>
      <c r="J78" s="7">
        <v>69.45</v>
      </c>
      <c r="K78" s="7">
        <v>69.45</v>
      </c>
      <c r="M78" s="34">
        <v>0</v>
      </c>
      <c r="N78" s="34">
        <v>0</v>
      </c>
      <c r="O78" s="34">
        <v>0</v>
      </c>
      <c r="Q78" s="34">
        <v>0</v>
      </c>
      <c r="R78" s="34">
        <v>0</v>
      </c>
      <c r="S78" s="34">
        <v>0</v>
      </c>
    </row>
    <row r="79" spans="1:19" x14ac:dyDescent="0.35">
      <c r="A79" s="112">
        <v>59</v>
      </c>
      <c r="B79" s="6" t="s">
        <v>63</v>
      </c>
      <c r="C79" s="6">
        <v>12</v>
      </c>
      <c r="D79" s="6">
        <v>3</v>
      </c>
      <c r="E79" s="6">
        <v>115</v>
      </c>
      <c r="F79" s="38">
        <f t="shared" si="2"/>
        <v>130</v>
      </c>
      <c r="H79" s="7">
        <v>82.64</v>
      </c>
      <c r="I79" s="7">
        <v>80.33</v>
      </c>
      <c r="J79" s="7">
        <v>69.11</v>
      </c>
      <c r="K79" s="7">
        <v>70.59</v>
      </c>
      <c r="M79" s="34">
        <v>147.15441000000001</v>
      </c>
      <c r="N79" s="34">
        <v>169.11982</v>
      </c>
      <c r="O79" s="34">
        <v>167.01877999999999</v>
      </c>
      <c r="Q79" s="34">
        <v>1749.36</v>
      </c>
      <c r="R79" s="34">
        <v>2434.34</v>
      </c>
      <c r="S79" s="34">
        <v>2368.8200000000002</v>
      </c>
    </row>
    <row r="80" spans="1:19" x14ac:dyDescent="0.35">
      <c r="A80" s="112">
        <v>60</v>
      </c>
      <c r="B80" s="6" t="s">
        <v>64</v>
      </c>
      <c r="C80" s="6">
        <v>20</v>
      </c>
      <c r="D80" s="6">
        <v>0</v>
      </c>
      <c r="E80" s="6">
        <v>380</v>
      </c>
      <c r="F80" s="38">
        <f t="shared" si="2"/>
        <v>400</v>
      </c>
      <c r="H80" s="7">
        <v>85</v>
      </c>
      <c r="I80" s="7">
        <v>0</v>
      </c>
      <c r="J80" s="7">
        <v>75.66</v>
      </c>
      <c r="K80" s="7">
        <v>76.14</v>
      </c>
      <c r="M80" s="34">
        <v>431.88504999999998</v>
      </c>
      <c r="N80" s="34">
        <v>275.35034999999999</v>
      </c>
      <c r="O80" s="34">
        <v>284.19412</v>
      </c>
      <c r="Q80" s="34">
        <v>5157.75</v>
      </c>
      <c r="R80" s="34">
        <v>3759.68</v>
      </c>
      <c r="S80" s="34">
        <v>3838.67</v>
      </c>
    </row>
    <row r="81" spans="1:19" x14ac:dyDescent="0.35">
      <c r="A81" s="112">
        <v>61</v>
      </c>
      <c r="B81" s="6" t="s">
        <v>65</v>
      </c>
      <c r="C81" s="6">
        <v>30</v>
      </c>
      <c r="D81" s="6">
        <v>0</v>
      </c>
      <c r="E81" s="6">
        <v>213</v>
      </c>
      <c r="F81" s="38">
        <f t="shared" si="2"/>
        <v>243</v>
      </c>
      <c r="H81" s="7">
        <v>77</v>
      </c>
      <c r="I81" s="7">
        <v>0</v>
      </c>
      <c r="J81" s="7">
        <v>72.069999999999993</v>
      </c>
      <c r="K81" s="7">
        <v>72.73</v>
      </c>
      <c r="M81" s="34">
        <v>443.23333000000002</v>
      </c>
      <c r="N81" s="34">
        <v>272.13303000000002</v>
      </c>
      <c r="O81" s="34">
        <v>301.80359999999996</v>
      </c>
      <c r="Q81" s="34">
        <v>5778.39</v>
      </c>
      <c r="R81" s="34">
        <v>3833.01</v>
      </c>
      <c r="S81" s="34">
        <v>4170.3599999999997</v>
      </c>
    </row>
    <row r="82" spans="1:19" x14ac:dyDescent="0.35">
      <c r="A82" s="112">
        <v>62</v>
      </c>
      <c r="B82" s="6" t="s">
        <v>66</v>
      </c>
      <c r="C82" s="6">
        <v>11</v>
      </c>
      <c r="D82" s="6">
        <v>0</v>
      </c>
      <c r="E82" s="6">
        <v>114</v>
      </c>
      <c r="F82" s="38">
        <f t="shared" si="2"/>
        <v>125</v>
      </c>
      <c r="H82" s="7">
        <v>111</v>
      </c>
      <c r="I82" s="7">
        <v>0</v>
      </c>
      <c r="J82" s="7">
        <v>70.040000000000006</v>
      </c>
      <c r="K82" s="7">
        <v>73.569999999999993</v>
      </c>
      <c r="M82" s="34">
        <v>424.83610999999996</v>
      </c>
      <c r="N82" s="34">
        <v>245.99517</v>
      </c>
      <c r="O82" s="34">
        <v>262.09084999999999</v>
      </c>
      <c r="Q82" s="34">
        <v>3979.58</v>
      </c>
      <c r="R82" s="34">
        <v>3521.28</v>
      </c>
      <c r="S82" s="34">
        <v>3562.53</v>
      </c>
    </row>
    <row r="83" spans="1:19" x14ac:dyDescent="0.35">
      <c r="A83" s="112">
        <v>63</v>
      </c>
      <c r="B83" s="1" t="s">
        <v>67</v>
      </c>
      <c r="C83" s="6">
        <v>2</v>
      </c>
      <c r="D83" s="6">
        <v>0</v>
      </c>
      <c r="E83" s="6">
        <v>192</v>
      </c>
      <c r="F83" s="38">
        <f t="shared" si="2"/>
        <v>194</v>
      </c>
      <c r="H83" s="7">
        <v>86</v>
      </c>
      <c r="I83" s="7">
        <v>0</v>
      </c>
      <c r="J83" s="7">
        <v>76.989999999999995</v>
      </c>
      <c r="K83" s="7">
        <v>77.040000000000006</v>
      </c>
      <c r="M83" s="59" t="s">
        <v>100</v>
      </c>
      <c r="N83" s="34">
        <v>308.88740999999999</v>
      </c>
      <c r="O83" s="34">
        <v>309.47755999999998</v>
      </c>
      <c r="Q83" s="59" t="s">
        <v>100</v>
      </c>
      <c r="R83" s="34">
        <v>4005.69</v>
      </c>
      <c r="S83" s="34">
        <v>4009.81</v>
      </c>
    </row>
    <row r="84" spans="1:19" x14ac:dyDescent="0.35">
      <c r="A84" s="112">
        <v>64</v>
      </c>
      <c r="B84" s="1" t="s">
        <v>68</v>
      </c>
      <c r="C84" s="6">
        <v>2</v>
      </c>
      <c r="D84" s="6">
        <v>0</v>
      </c>
      <c r="E84" s="6">
        <v>305</v>
      </c>
      <c r="F84" s="38">
        <f t="shared" si="2"/>
        <v>307</v>
      </c>
      <c r="H84" s="7">
        <v>62</v>
      </c>
      <c r="I84" s="7">
        <v>0</v>
      </c>
      <c r="J84" s="7">
        <v>72.650000000000006</v>
      </c>
      <c r="K84" s="7">
        <v>72.569999999999993</v>
      </c>
      <c r="M84" s="59" t="s">
        <v>100</v>
      </c>
      <c r="N84" s="34">
        <v>299.49291999999997</v>
      </c>
      <c r="O84" s="34">
        <v>299.66194000000002</v>
      </c>
      <c r="Q84" s="59" t="s">
        <v>100</v>
      </c>
      <c r="R84" s="34">
        <v>4202.4799999999996</v>
      </c>
      <c r="S84" s="34">
        <v>4209.37</v>
      </c>
    </row>
    <row r="85" spans="1:19" x14ac:dyDescent="0.35">
      <c r="A85" s="112">
        <v>65</v>
      </c>
      <c r="B85" s="1" t="s">
        <v>69</v>
      </c>
      <c r="C85" s="6">
        <v>6</v>
      </c>
      <c r="D85" s="6">
        <v>0</v>
      </c>
      <c r="E85" s="6">
        <v>189</v>
      </c>
      <c r="F85" s="38">
        <f t="shared" ref="F85:F93" si="3">SUM(C85:E85)</f>
        <v>195</v>
      </c>
      <c r="H85" s="7">
        <v>52.67</v>
      </c>
      <c r="I85" s="7">
        <v>0</v>
      </c>
      <c r="J85" s="7">
        <v>72</v>
      </c>
      <c r="K85" s="7">
        <v>71.34</v>
      </c>
      <c r="M85" s="34">
        <v>202.5</v>
      </c>
      <c r="N85" s="34">
        <v>298.15777000000003</v>
      </c>
      <c r="O85" s="34">
        <v>292.74318</v>
      </c>
      <c r="Q85" s="34">
        <v>3978.19</v>
      </c>
      <c r="R85" s="34">
        <v>4283.71</v>
      </c>
      <c r="S85" s="34">
        <v>4266.42</v>
      </c>
    </row>
    <row r="86" spans="1:19" x14ac:dyDescent="0.35">
      <c r="A86" s="112">
        <v>66</v>
      </c>
      <c r="B86" s="1" t="s">
        <v>70</v>
      </c>
      <c r="C86" s="6">
        <v>8</v>
      </c>
      <c r="D86" s="6">
        <v>1</v>
      </c>
      <c r="E86" s="6">
        <v>123</v>
      </c>
      <c r="F86" s="38">
        <f t="shared" si="3"/>
        <v>132</v>
      </c>
      <c r="H86" s="7">
        <v>96.67</v>
      </c>
      <c r="I86" s="7">
        <v>50</v>
      </c>
      <c r="J86" s="7">
        <v>73.44</v>
      </c>
      <c r="K86" s="7">
        <v>74.400000000000006</v>
      </c>
      <c r="M86" s="34">
        <v>648.16667000000007</v>
      </c>
      <c r="N86" s="34">
        <v>359.09796999999998</v>
      </c>
      <c r="O86" s="34">
        <v>374.17982000000001</v>
      </c>
      <c r="Q86" s="34">
        <v>6441.4</v>
      </c>
      <c r="R86" s="34">
        <v>4935.42</v>
      </c>
      <c r="S86" s="34">
        <v>5013.99</v>
      </c>
    </row>
    <row r="87" spans="1:19" x14ac:dyDescent="0.35">
      <c r="A87" s="112">
        <v>67</v>
      </c>
      <c r="B87" s="1" t="s">
        <v>71</v>
      </c>
      <c r="C87" s="6">
        <v>2</v>
      </c>
      <c r="D87" s="6">
        <v>0</v>
      </c>
      <c r="E87" s="6">
        <v>73</v>
      </c>
      <c r="F87" s="38">
        <f t="shared" si="3"/>
        <v>75</v>
      </c>
      <c r="H87" s="7">
        <v>77.5</v>
      </c>
      <c r="I87" s="7">
        <v>0</v>
      </c>
      <c r="J87" s="7">
        <v>94.14</v>
      </c>
      <c r="K87" s="7">
        <v>93.68</v>
      </c>
      <c r="M87" s="59" t="s">
        <v>100</v>
      </c>
      <c r="N87" s="34">
        <v>518.74113</v>
      </c>
      <c r="O87" s="34">
        <v>512.38720999999998</v>
      </c>
      <c r="Q87" s="59" t="s">
        <v>100</v>
      </c>
      <c r="R87" s="34">
        <v>5586.3</v>
      </c>
      <c r="S87" s="34">
        <v>5542</v>
      </c>
    </row>
    <row r="88" spans="1:19" x14ac:dyDescent="0.35">
      <c r="A88" s="112">
        <v>68</v>
      </c>
      <c r="B88" s="1" t="s">
        <v>72</v>
      </c>
      <c r="C88" s="6">
        <v>47</v>
      </c>
      <c r="D88" s="6">
        <v>0</v>
      </c>
      <c r="E88" s="6">
        <v>289</v>
      </c>
      <c r="F88" s="38">
        <f t="shared" si="3"/>
        <v>336</v>
      </c>
      <c r="H88" s="7">
        <v>68.53</v>
      </c>
      <c r="I88" s="7">
        <v>0</v>
      </c>
      <c r="J88" s="7">
        <v>76.8</v>
      </c>
      <c r="K88" s="7">
        <v>75.64</v>
      </c>
      <c r="M88" s="34">
        <v>440.93810999999999</v>
      </c>
      <c r="N88" s="34">
        <v>395.58411999999998</v>
      </c>
      <c r="O88" s="34">
        <v>402.14659</v>
      </c>
      <c r="Q88" s="34">
        <v>6453.69</v>
      </c>
      <c r="R88" s="34">
        <v>5209.29</v>
      </c>
      <c r="S88" s="34">
        <v>5389.35</v>
      </c>
    </row>
    <row r="89" spans="1:19" x14ac:dyDescent="0.35">
      <c r="A89" s="112">
        <v>69</v>
      </c>
      <c r="B89" s="1" t="s">
        <v>73</v>
      </c>
      <c r="C89" s="6">
        <v>70</v>
      </c>
      <c r="D89" s="6">
        <v>2</v>
      </c>
      <c r="E89" s="6">
        <v>126</v>
      </c>
      <c r="F89" s="38">
        <f t="shared" si="3"/>
        <v>198</v>
      </c>
      <c r="H89" s="7">
        <v>66</v>
      </c>
      <c r="I89" s="7">
        <v>70.5</v>
      </c>
      <c r="J89" s="7">
        <v>102.23</v>
      </c>
      <c r="K89" s="7">
        <v>89.08</v>
      </c>
      <c r="M89" s="34">
        <v>441.25784000000004</v>
      </c>
      <c r="N89" s="34">
        <v>663.06396999999993</v>
      </c>
      <c r="O89" s="34">
        <v>580.78105000000005</v>
      </c>
      <c r="Q89" s="34">
        <v>6652.96</v>
      </c>
      <c r="R89" s="34">
        <v>6436.23</v>
      </c>
      <c r="S89" s="34">
        <v>6516.63</v>
      </c>
    </row>
    <row r="90" spans="1:19" x14ac:dyDescent="0.35">
      <c r="A90" s="112">
        <v>70</v>
      </c>
      <c r="B90" s="1" t="s">
        <v>74</v>
      </c>
      <c r="C90" s="6">
        <v>20</v>
      </c>
      <c r="D90" s="6">
        <v>4</v>
      </c>
      <c r="E90" s="6">
        <v>255</v>
      </c>
      <c r="F90" s="38">
        <f t="shared" si="3"/>
        <v>279</v>
      </c>
      <c r="H90" s="7">
        <v>91.94</v>
      </c>
      <c r="I90" s="7">
        <v>71.25</v>
      </c>
      <c r="J90" s="7">
        <v>62.66</v>
      </c>
      <c r="K90" s="7">
        <v>64.849999999999994</v>
      </c>
      <c r="M90" s="34">
        <v>424.41182000000003</v>
      </c>
      <c r="N90" s="34">
        <v>174.56963000000002</v>
      </c>
      <c r="O90" s="34">
        <v>194.69910000000002</v>
      </c>
      <c r="Q90" s="34">
        <v>3340.44</v>
      </c>
      <c r="R90" s="34">
        <v>2502.1799999999998</v>
      </c>
      <c r="S90" s="34">
        <v>2569.7199999999998</v>
      </c>
    </row>
    <row r="91" spans="1:19" x14ac:dyDescent="0.35">
      <c r="A91" s="112">
        <v>71</v>
      </c>
      <c r="B91" s="1" t="s">
        <v>75</v>
      </c>
      <c r="C91" s="6">
        <v>22</v>
      </c>
      <c r="D91" s="6">
        <v>9</v>
      </c>
      <c r="E91" s="6">
        <v>126</v>
      </c>
      <c r="F91" s="38">
        <f t="shared" si="3"/>
        <v>157</v>
      </c>
      <c r="H91" s="7">
        <v>68.33</v>
      </c>
      <c r="I91" s="7">
        <v>61</v>
      </c>
      <c r="J91" s="7">
        <v>74.37</v>
      </c>
      <c r="K91" s="7">
        <v>72.78</v>
      </c>
      <c r="M91" s="34">
        <v>245.69048000000001</v>
      </c>
      <c r="N91" s="34">
        <v>328.43293</v>
      </c>
      <c r="O91" s="34">
        <v>314.42009999999999</v>
      </c>
      <c r="Q91" s="34">
        <v>3664.06</v>
      </c>
      <c r="R91" s="34">
        <v>4452.5600000000004</v>
      </c>
      <c r="S91" s="34">
        <v>4319.0200000000004</v>
      </c>
    </row>
    <row r="92" spans="1:19" x14ac:dyDescent="0.35">
      <c r="A92" s="112">
        <v>72</v>
      </c>
      <c r="B92" s="1" t="s">
        <v>76</v>
      </c>
      <c r="C92" s="6">
        <v>0</v>
      </c>
      <c r="D92" s="6">
        <v>0</v>
      </c>
      <c r="E92" s="6">
        <v>194</v>
      </c>
      <c r="F92" s="38">
        <f t="shared" si="3"/>
        <v>194</v>
      </c>
      <c r="H92" s="7">
        <v>0</v>
      </c>
      <c r="I92" s="7">
        <v>0</v>
      </c>
      <c r="J92" s="7">
        <v>70.88</v>
      </c>
      <c r="K92" s="7">
        <v>70.88</v>
      </c>
      <c r="M92" s="34">
        <v>0</v>
      </c>
      <c r="N92" s="34">
        <v>225.17776000000001</v>
      </c>
      <c r="O92" s="34">
        <v>225.17776000000001</v>
      </c>
      <c r="Q92" s="34">
        <v>0</v>
      </c>
      <c r="R92" s="34">
        <v>3256.7</v>
      </c>
      <c r="S92" s="34">
        <v>3256.7</v>
      </c>
    </row>
    <row r="93" spans="1:19" x14ac:dyDescent="0.35">
      <c r="A93" s="112">
        <v>73</v>
      </c>
      <c r="B93" s="24" t="s">
        <v>77</v>
      </c>
      <c r="C93" s="27">
        <v>3</v>
      </c>
      <c r="D93" s="27">
        <v>0</v>
      </c>
      <c r="E93" s="27">
        <v>331</v>
      </c>
      <c r="F93" s="39">
        <f t="shared" si="3"/>
        <v>334</v>
      </c>
      <c r="G93" s="24"/>
      <c r="H93" s="25">
        <v>74.67</v>
      </c>
      <c r="I93" s="25">
        <v>0</v>
      </c>
      <c r="J93" s="25">
        <v>71.81</v>
      </c>
      <c r="K93" s="25">
        <v>71.84</v>
      </c>
      <c r="L93" s="25"/>
      <c r="M93" s="37">
        <v>400.66667000000001</v>
      </c>
      <c r="N93" s="37">
        <v>269.38082000000003</v>
      </c>
      <c r="O93" s="37">
        <v>271.02189000000004</v>
      </c>
      <c r="P93" s="37"/>
      <c r="Q93" s="37">
        <v>5255.08</v>
      </c>
      <c r="R93" s="37">
        <v>3791.5</v>
      </c>
      <c r="S93" s="37">
        <v>3809.79</v>
      </c>
    </row>
    <row r="95" spans="1:19" x14ac:dyDescent="0.35">
      <c r="B95" s="114" t="s">
        <v>93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Fulls de càlcul</vt:lpstr>
      </vt:variant>
      <vt:variant>
        <vt:i4>10</vt:i4>
      </vt:variant>
    </vt:vector>
  </HeadingPairs>
  <TitlesOfParts>
    <vt:vector size="10" baseType="lpstr">
      <vt:lpstr>2025</vt:lpstr>
      <vt:lpstr>4t25</vt:lpstr>
      <vt:lpstr>3t25_acum</vt:lpstr>
      <vt:lpstr>3t25</vt:lpstr>
      <vt:lpstr>3t25acum_1any</vt:lpstr>
      <vt:lpstr>2t25_acum</vt:lpstr>
      <vt:lpstr>2t25</vt:lpstr>
      <vt:lpstr>2t25acum_1any</vt:lpstr>
      <vt:lpstr>1t25</vt:lpstr>
      <vt:lpstr>1t25acum_1any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2015-05-19T08:29:00Z</dcterms:created>
  <dcterms:modified xsi:type="dcterms:W3CDTF">2026-07-21T07:52:23Z</dcterms:modified>
</cp:coreProperties>
</file>
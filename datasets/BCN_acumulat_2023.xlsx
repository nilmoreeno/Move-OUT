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AquestLlibreDeTreball"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3\"/>
    </mc:Choice>
  </mc:AlternateContent>
  <bookViews>
    <workbookView xWindow="-15" yWindow="-15" windowWidth="14400" windowHeight="11040"/>
  </bookViews>
  <sheets>
    <sheet name="4t23_acum" sheetId="9" r:id="rId1"/>
    <sheet name="3t23_acum" sheetId="8" r:id="rId2"/>
    <sheet name="2t23_acum" sheetId="7" r:id="rId3"/>
    <sheet name="1t23_acum" sheetId="6" r:id="rId4"/>
  </sheets>
  <definedNames>
    <definedName name="_xlnm._FilterDatabase" localSheetId="1" hidden="1">'3t23_acum'!$B$20:$S$93</definedName>
    <definedName name="_xlnm._FilterDatabase" localSheetId="0" hidden="1">'4t23_acum'!$B$20:$S$93</definedName>
  </definedNames>
  <calcPr calcId="162913"/>
</workbook>
</file>

<file path=xl/calcChain.xml><?xml version="1.0" encoding="utf-8"?>
<calcChain xmlns="http://schemas.openxmlformats.org/spreadsheetml/2006/main">
  <c r="F93" i="9" l="1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18" i="9"/>
  <c r="F17" i="9"/>
  <c r="F16" i="9"/>
  <c r="F15" i="9"/>
  <c r="F14" i="9"/>
  <c r="F13" i="9"/>
  <c r="F12" i="9"/>
  <c r="F11" i="9"/>
  <c r="F10" i="9"/>
  <c r="F9" i="9"/>
  <c r="F6" i="9" l="1"/>
  <c r="F93" i="8" l="1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18" i="8"/>
  <c r="F17" i="8"/>
  <c r="F16" i="8"/>
  <c r="F15" i="8"/>
  <c r="F14" i="8"/>
  <c r="F13" i="8"/>
  <c r="F12" i="8"/>
  <c r="F11" i="8"/>
  <c r="F10" i="8"/>
  <c r="F9" i="8"/>
  <c r="F6" i="8"/>
  <c r="F93" i="7" l="1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18" i="7"/>
  <c r="F17" i="7"/>
  <c r="F16" i="7"/>
  <c r="F15" i="7"/>
  <c r="F14" i="7"/>
  <c r="F13" i="7"/>
  <c r="F12" i="7"/>
  <c r="F11" i="7"/>
  <c r="F10" i="7"/>
  <c r="F9" i="7"/>
  <c r="F6" i="7"/>
  <c r="F93" i="6" l="1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18" i="6"/>
  <c r="F17" i="6"/>
  <c r="F16" i="6"/>
  <c r="F15" i="6"/>
  <c r="F14" i="6"/>
  <c r="F13" i="6"/>
  <c r="F12" i="6"/>
  <c r="F11" i="6"/>
  <c r="F10" i="6"/>
  <c r="F9" i="6"/>
  <c r="F6" i="6"/>
</calcChain>
</file>

<file path=xl/sharedStrings.xml><?xml version="1.0" encoding="utf-8"?>
<sst xmlns="http://schemas.openxmlformats.org/spreadsheetml/2006/main" count="436" uniqueCount="102">
  <si>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</si>
  <si>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</si>
  <si>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</si>
  <si>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</si>
  <si>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</si>
  <si>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</si>
  <si>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</si>
  <si>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</si>
  <si>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</si>
  <si>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</si>
  <si>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</si>
  <si>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</si>
  <si>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</si>
  <si>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</si>
  <si>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</si>
  <si>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</si>
  <si>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</si>
  <si>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</si>
  <si>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el Poble Sec - Parc Montjuïc</t>
  </si>
  <si>
    <t>la Marina del Prat Vermell - Zona Franca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</si>
  <si>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</si>
  <si>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</si>
  <si>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</si>
  <si>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</si>
  <si>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</si>
  <si>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</si>
  <si>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</si>
  <si>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</si>
  <si>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</si>
  <si>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</si>
  <si>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</si>
  <si>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</si>
  <si>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</si>
  <si>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</si>
  <si>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</si>
  <si>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</si>
  <si>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</si>
  <si>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</si>
  <si>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</si>
  <si>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</si>
  <si>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</si>
  <si>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</si>
  <si>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</si>
  <si>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</si>
  <si>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</si>
  <si>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</si>
  <si>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</si>
  <si>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</si>
  <si>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</si>
  <si>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</si>
  <si>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</si>
  <si>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</si>
  <si>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</si>
  <si>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</si>
  <si>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</si>
  <si>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</si>
  <si>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</si>
  <si>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</si>
  <si>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</si>
  <si>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</si>
  <si>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</si>
  <si>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</si>
  <si>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</si>
  <si>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la Trinitat Vella</t>
  </si>
  <si>
    <t>Baró de Viver</t>
  </si>
  <si>
    <t>el Bon Pastor</t>
  </si>
  <si>
    <t>Sant Andreu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</si>
  <si>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</si>
  <si>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</si>
  <si>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</si>
  <si>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</si>
  <si>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</si>
  <si>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</si>
  <si>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</si>
  <si>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</si>
  <si>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</si>
  <si>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</si>
  <si>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</si>
  <si>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</si>
  <si>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</si>
  <si>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t>Vallbona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</si>
  <si>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</si>
  <si>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</si>
  <si>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</si>
  <si>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</si>
  <si>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</si>
  <si>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</si>
  <si>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</si>
  <si>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</si>
  <si>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Martí</t>
  </si>
  <si>
    <t>Districtes municipals</t>
  </si>
  <si>
    <t>Barris</t>
  </si>
  <si>
    <t>Codi</t>
  </si>
  <si>
    <t>Compravendes d'habitatge registrades a Barcelona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</si>
  <si>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</si>
  <si>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* Les dades del conjunt de la ciutat no corresponen a l'agregat dels barris o districtes ja que hi poden haver habitatges que no s'han pogut geolocalitzar.</t>
  </si>
  <si>
    <t>Barcelona*</t>
  </si>
  <si>
    <r>
      <t>Període</t>
    </r>
    <r>
      <rPr>
        <b/>
        <sz val="10"/>
        <rFont val="Arial"/>
        <family val="2"/>
      </rPr>
      <t>: Gener - març 2023</t>
    </r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</si>
  <si>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</si>
  <si>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Gener - juny 2023</t>
    </r>
  </si>
  <si>
    <r>
      <t>Període</t>
    </r>
    <r>
      <rPr>
        <b/>
        <sz val="10"/>
        <rFont val="Arial"/>
        <family val="2"/>
      </rPr>
      <t>: Gener - setembre 2023</t>
    </r>
  </si>
  <si>
    <r>
      <t>Període</t>
    </r>
    <r>
      <rPr>
        <b/>
        <sz val="10"/>
        <rFont val="Arial"/>
        <family val="2"/>
      </rPr>
      <t>: Any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</si>
</sst>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1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Continuous"/>
    </xf>
    <xf numFmtId="164" fontId="3" fillId="0" borderId="1" xfId="0" applyNumberFormat="1" applyFont="1" applyBorder="1" applyAlignment="1">
      <alignment horizontal="right" wrapText="1"/>
    </xf>
    <xf numFmtId="3" fontId="7" fillId="0" borderId="0" xfId="0" applyNumberFormat="1" applyFont="1" applyBorder="1" applyAlignment="1">
      <alignment wrapText="1"/>
    </xf>
    <xf numFmtId="3" fontId="1" fillId="0" borderId="1" xfId="0" applyNumberFormat="1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3" fontId="3" fillId="0" borderId="0" xfId="0" applyNumberFormat="1" applyFont="1" applyBorder="1" applyAlignment="1">
      <alignment wrapText="1"/>
    </xf>
    <xf numFmtId="3" fontId="8" fillId="0" borderId="0" xfId="0" applyNumberFormat="1" applyFont="1"/>
    <xf numFmtId="165" fontId="1" fillId="0" borderId="0" xfId="0" applyNumberFormat="1" applyFont="1" applyFill="1"/>
    <xf numFmtId="3" fontId="5" fillId="0" borderId="0" xfId="0" applyNumberFormat="1" applyFont="1" applyBorder="1"/>
    <xf numFmtId="164" fontId="1" fillId="0" borderId="0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wrapText="1"/>
    </xf>
    <xf numFmtId="165" fontId="1" fillId="0" borderId="0" xfId="0" applyNumberFormat="1" applyFont="1" applyBorder="1" applyAlignment="1">
      <alignment horizontal="right" wrapText="1"/>
    </xf>
    <xf numFmtId="165" fontId="1" fillId="0" borderId="0" xfId="0" applyNumberFormat="1" applyFont="1" applyBorder="1" applyAlignment="1">
      <alignment wrapText="1"/>
    </xf>
    <xf numFmtId="165" fontId="1" fillId="0" borderId="0" xfId="0" applyNumberFormat="1" applyFont="1" applyFill="1" applyBorder="1" applyAlignment="1">
      <alignment horizontal="right" wrapText="1"/>
    </xf>
    <xf numFmtId="165" fontId="1" fillId="0" borderId="0" xfId="0" applyNumberFormat="1" applyFont="1" applyFill="1" applyBorder="1" applyAlignment="1">
      <alignment wrapText="1"/>
    </xf>
    <xf numFmtId="164" fontId="1" fillId="0" borderId="0" xfId="0" applyNumberFormat="1" applyFont="1" applyBorder="1"/>
    <xf numFmtId="3" fontId="1" fillId="0" borderId="0" xfId="0" applyNumberFormat="1" applyFont="1" applyBorder="1"/>
    <xf numFmtId="165" fontId="1" fillId="0" borderId="0" xfId="0" applyNumberFormat="1" applyFont="1" applyBorder="1"/>
    <xf numFmtId="164" fontId="1" fillId="0" borderId="1" xfId="0" applyNumberFormat="1" applyFont="1" applyBorder="1" applyAlignment="1">
      <alignment horizontal="right" wrapText="1"/>
    </xf>
    <xf numFmtId="166" fontId="1" fillId="0" borderId="0" xfId="0" applyNumberFormat="1" applyFont="1"/>
    <xf numFmtId="166" fontId="1" fillId="0" borderId="0" xfId="0" applyNumberFormat="1" applyFont="1" applyBorder="1" applyAlignment="1">
      <alignment horizontal="right" wrapText="1"/>
    </xf>
    <xf numFmtId="166" fontId="1" fillId="0" borderId="0" xfId="0" applyNumberFormat="1" applyFont="1" applyFill="1" applyBorder="1" applyAlignment="1">
      <alignment horizontal="right" wrapText="1"/>
    </xf>
    <xf numFmtId="166" fontId="1" fillId="0" borderId="0" xfId="0" applyNumberFormat="1" applyFont="1" applyFill="1"/>
    <xf numFmtId="166" fontId="1" fillId="0" borderId="0" xfId="0" applyNumberFormat="1" applyFont="1" applyBorder="1"/>
    <xf numFmtId="166" fontId="1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 applyFill="1" applyBorder="1" applyAlignment="1">
      <alignment horizontal="right" wrapText="1"/>
    </xf>
    <xf numFmtId="3" fontId="1" fillId="0" borderId="0" xfId="0" applyNumberFormat="1" applyFont="1" applyFill="1" applyBorder="1" applyAlignment="1">
      <alignment wrapText="1"/>
    </xf>
    <xf numFmtId="164" fontId="1" fillId="0" borderId="0" xfId="0" applyNumberFormat="1" applyFont="1" applyFill="1"/>
    <xf numFmtId="3" fontId="1" fillId="0" borderId="0" xfId="0" applyNumberFormat="1" applyFont="1" applyFill="1"/>
    <xf numFmtId="164" fontId="1" fillId="0" borderId="0" xfId="0" applyNumberFormat="1" applyFont="1" applyFill="1" applyBorder="1"/>
    <xf numFmtId="3" fontId="1" fillId="0" borderId="0" xfId="0" applyNumberFormat="1" applyFont="1" applyFill="1" applyBorder="1"/>
    <xf numFmtId="165" fontId="1" fillId="0" borderId="0" xfId="0" applyNumberFormat="1" applyFont="1" applyFill="1" applyBorder="1"/>
    <xf numFmtId="166" fontId="1" fillId="0" borderId="0" xfId="0" applyNumberFormat="1" applyFont="1" applyFill="1" applyBorder="1"/>
    <xf numFmtId="164" fontId="1" fillId="0" borderId="1" xfId="0" applyNumberFormat="1" applyFont="1" applyFill="1" applyBorder="1"/>
    <xf numFmtId="3" fontId="1" fillId="0" borderId="1" xfId="0" applyNumberFormat="1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3" fontId="8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tabSelected="1"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53" t="s">
        <v>101</v>
      </c>
    </row>
    <row r="3" spans="1:19" x14ac:dyDescent="0.2">
      <c r="A3" s="1" t="s">
        <v>98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19" t="s">
        <v>96</v>
      </c>
      <c r="C6" s="6">
        <v>1263</v>
      </c>
      <c r="D6" s="6">
        <v>77</v>
      </c>
      <c r="E6" s="6">
        <v>13559</v>
      </c>
      <c r="F6" s="6">
        <f t="shared" ref="F6" si="0">SUM(C6:E6)</f>
        <v>14899</v>
      </c>
      <c r="G6" s="1"/>
      <c r="H6" s="7">
        <v>85.94</v>
      </c>
      <c r="I6" s="7">
        <v>72.09</v>
      </c>
      <c r="J6" s="7">
        <v>78.98</v>
      </c>
      <c r="K6" s="7">
        <v>79.540000000000006</v>
      </c>
      <c r="L6" s="1"/>
      <c r="M6" s="7">
        <v>476.48119000000003</v>
      </c>
      <c r="N6" s="7">
        <v>362.25685999999996</v>
      </c>
      <c r="O6" s="7">
        <v>374.26615000000004</v>
      </c>
      <c r="P6" s="1"/>
      <c r="Q6" s="33">
        <v>5231.49</v>
      </c>
      <c r="R6" s="33">
        <v>4269.8599999999997</v>
      </c>
      <c r="S6" s="33">
        <v>4370.96</v>
      </c>
    </row>
    <row r="7" spans="1:19" s="3" customFormat="1" x14ac:dyDescent="0.2">
      <c r="B7" s="24"/>
      <c r="C7" s="23"/>
      <c r="D7" s="23"/>
      <c r="E7" s="23"/>
      <c r="F7" s="23"/>
      <c r="G7" s="24"/>
      <c r="H7" s="25"/>
      <c r="I7" s="25"/>
      <c r="J7" s="25"/>
      <c r="K7" s="25"/>
      <c r="L7" s="26"/>
      <c r="M7" s="25"/>
      <c r="N7" s="25"/>
      <c r="O7" s="25"/>
      <c r="P7" s="26"/>
      <c r="Q7" s="34"/>
      <c r="R7" s="34"/>
      <c r="S7" s="34"/>
    </row>
    <row r="8" spans="1:19" s="3" customFormat="1" x14ac:dyDescent="0.2">
      <c r="B8" s="15" t="s">
        <v>90</v>
      </c>
      <c r="C8" s="23"/>
      <c r="D8" s="23"/>
      <c r="E8" s="23"/>
      <c r="F8" s="23"/>
      <c r="G8" s="24"/>
      <c r="H8" s="25"/>
      <c r="I8" s="25"/>
      <c r="J8" s="25"/>
      <c r="K8" s="25"/>
      <c r="L8" s="26"/>
      <c r="M8" s="25"/>
      <c r="N8" s="25"/>
      <c r="O8" s="25"/>
      <c r="P8" s="26"/>
      <c r="Q8" s="34"/>
      <c r="R8" s="34"/>
      <c r="S8" s="34"/>
    </row>
    <row r="9" spans="1:19" s="3" customFormat="1" x14ac:dyDescent="0.2">
      <c r="A9" s="39">
        <v>1</v>
      </c>
      <c r="B9" s="24" t="s">
        <v>81</v>
      </c>
      <c r="C9" s="41">
        <v>86</v>
      </c>
      <c r="D9" s="41">
        <v>8</v>
      </c>
      <c r="E9" s="41">
        <v>1268</v>
      </c>
      <c r="F9" s="23">
        <f t="shared" ref="F9:F18" si="1">SUM(C9:E9)</f>
        <v>1362</v>
      </c>
      <c r="G9" s="42"/>
      <c r="H9" s="27">
        <v>56.46</v>
      </c>
      <c r="I9" s="27">
        <v>72.12</v>
      </c>
      <c r="J9" s="27">
        <v>66.86</v>
      </c>
      <c r="K9" s="27">
        <v>66.3</v>
      </c>
      <c r="L9" s="28"/>
      <c r="M9" s="27">
        <v>274.19346999999999</v>
      </c>
      <c r="N9" s="27">
        <v>269.91088999999999</v>
      </c>
      <c r="O9" s="27">
        <v>270.15085999999997</v>
      </c>
      <c r="P9" s="28"/>
      <c r="Q9" s="35">
        <v>4975.87</v>
      </c>
      <c r="R9" s="35">
        <v>4122.59</v>
      </c>
      <c r="S9" s="35">
        <v>4170.41</v>
      </c>
    </row>
    <row r="10" spans="1:19" s="3" customFormat="1" x14ac:dyDescent="0.2">
      <c r="A10" s="39">
        <v>2</v>
      </c>
      <c r="B10" s="24" t="s">
        <v>82</v>
      </c>
      <c r="C10" s="41">
        <v>256</v>
      </c>
      <c r="D10" s="41">
        <v>15</v>
      </c>
      <c r="E10" s="41">
        <v>2294</v>
      </c>
      <c r="F10" s="23">
        <f t="shared" si="1"/>
        <v>2565</v>
      </c>
      <c r="G10" s="42"/>
      <c r="H10" s="27">
        <v>99.63</v>
      </c>
      <c r="I10" s="27">
        <v>86.22</v>
      </c>
      <c r="J10" s="27">
        <v>90.03</v>
      </c>
      <c r="K10" s="27">
        <v>90.97</v>
      </c>
      <c r="L10" s="28"/>
      <c r="M10" s="27">
        <v>666.91683999999998</v>
      </c>
      <c r="N10" s="27">
        <v>449.70423</v>
      </c>
      <c r="O10" s="27">
        <v>472.27436999999998</v>
      </c>
      <c r="P10" s="28"/>
      <c r="Q10" s="35">
        <v>6534.56</v>
      </c>
      <c r="R10" s="35">
        <v>4942.63</v>
      </c>
      <c r="S10" s="35">
        <v>5108.05</v>
      </c>
    </row>
    <row r="11" spans="1:19" s="3" customFormat="1" x14ac:dyDescent="0.2">
      <c r="A11" s="39">
        <v>3</v>
      </c>
      <c r="B11" s="24" t="s">
        <v>83</v>
      </c>
      <c r="C11" s="41">
        <v>167</v>
      </c>
      <c r="D11" s="41">
        <v>1</v>
      </c>
      <c r="E11" s="41">
        <v>1596</v>
      </c>
      <c r="F11" s="23">
        <f t="shared" si="1"/>
        <v>1764</v>
      </c>
      <c r="G11" s="42"/>
      <c r="H11" s="27">
        <v>77.319999999999993</v>
      </c>
      <c r="I11" s="27">
        <v>48</v>
      </c>
      <c r="J11" s="27">
        <v>67.69</v>
      </c>
      <c r="K11" s="27">
        <v>68.56</v>
      </c>
      <c r="L11" s="28"/>
      <c r="M11" s="27">
        <v>293.97977000000003</v>
      </c>
      <c r="N11" s="27">
        <v>246.83601000000002</v>
      </c>
      <c r="O11" s="27">
        <v>253.21670999999998</v>
      </c>
      <c r="P11" s="28"/>
      <c r="Q11" s="35">
        <v>3781.84</v>
      </c>
      <c r="R11" s="35">
        <v>3730.87</v>
      </c>
      <c r="S11" s="35">
        <v>3737.77</v>
      </c>
    </row>
    <row r="12" spans="1:19" s="3" customFormat="1" x14ac:dyDescent="0.2">
      <c r="A12" s="39">
        <v>4</v>
      </c>
      <c r="B12" s="24" t="s">
        <v>84</v>
      </c>
      <c r="C12" s="41">
        <v>18</v>
      </c>
      <c r="D12" s="41">
        <v>0</v>
      </c>
      <c r="E12" s="41">
        <v>571</v>
      </c>
      <c r="F12" s="23">
        <f t="shared" si="1"/>
        <v>589</v>
      </c>
      <c r="G12" s="42"/>
      <c r="H12" s="27">
        <v>103.06</v>
      </c>
      <c r="I12" s="27">
        <v>0</v>
      </c>
      <c r="J12" s="27">
        <v>98.69</v>
      </c>
      <c r="K12" s="27">
        <v>98.84</v>
      </c>
      <c r="L12" s="28"/>
      <c r="M12" s="27">
        <v>629.53647000000001</v>
      </c>
      <c r="N12" s="27">
        <v>537.40465000000006</v>
      </c>
      <c r="O12" s="27">
        <v>541.29110000000003</v>
      </c>
      <c r="P12" s="28"/>
      <c r="Q12" s="35">
        <v>6179.49</v>
      </c>
      <c r="R12" s="35">
        <v>4995.5600000000004</v>
      </c>
      <c r="S12" s="35">
        <v>5045.51</v>
      </c>
    </row>
    <row r="13" spans="1:19" s="3" customFormat="1" x14ac:dyDescent="0.2">
      <c r="A13" s="39">
        <v>5</v>
      </c>
      <c r="B13" s="24" t="s">
        <v>85</v>
      </c>
      <c r="C13" s="41">
        <v>145</v>
      </c>
      <c r="D13" s="41">
        <v>1</v>
      </c>
      <c r="E13" s="41">
        <v>973</v>
      </c>
      <c r="F13" s="23">
        <f t="shared" si="1"/>
        <v>1119</v>
      </c>
      <c r="G13" s="42"/>
      <c r="H13" s="27">
        <v>119.26</v>
      </c>
      <c r="I13" s="27">
        <v>72</v>
      </c>
      <c r="J13" s="27">
        <v>130.47</v>
      </c>
      <c r="K13" s="27">
        <v>128.9</v>
      </c>
      <c r="L13" s="28"/>
      <c r="M13" s="27">
        <v>804.50844999999993</v>
      </c>
      <c r="N13" s="27">
        <v>752.87268999999992</v>
      </c>
      <c r="O13" s="27">
        <v>760.02062000000001</v>
      </c>
      <c r="P13" s="28"/>
      <c r="Q13" s="35">
        <v>7036.92</v>
      </c>
      <c r="R13" s="35">
        <v>5804.74</v>
      </c>
      <c r="S13" s="35">
        <v>5975.31</v>
      </c>
    </row>
    <row r="14" spans="1:19" s="3" customFormat="1" x14ac:dyDescent="0.2">
      <c r="A14" s="39">
        <v>6</v>
      </c>
      <c r="B14" s="24" t="s">
        <v>86</v>
      </c>
      <c r="C14" s="41">
        <v>88</v>
      </c>
      <c r="D14" s="41">
        <v>1</v>
      </c>
      <c r="E14" s="41">
        <v>1093</v>
      </c>
      <c r="F14" s="23">
        <f t="shared" si="1"/>
        <v>1182</v>
      </c>
      <c r="G14" s="42"/>
      <c r="H14" s="27">
        <v>87.34</v>
      </c>
      <c r="I14" s="27">
        <v>0</v>
      </c>
      <c r="J14" s="27">
        <v>78.790000000000006</v>
      </c>
      <c r="K14" s="27">
        <v>79.42</v>
      </c>
      <c r="L14" s="28"/>
      <c r="M14" s="27">
        <v>605.30759</v>
      </c>
      <c r="N14" s="27">
        <v>352.87828000000002</v>
      </c>
      <c r="O14" s="27">
        <v>371.71264000000002</v>
      </c>
      <c r="P14" s="28"/>
      <c r="Q14" s="35">
        <v>5498.07</v>
      </c>
      <c r="R14" s="35">
        <v>4588.58</v>
      </c>
      <c r="S14" s="35">
        <v>4656.4399999999996</v>
      </c>
    </row>
    <row r="15" spans="1:19" s="3" customFormat="1" x14ac:dyDescent="0.2">
      <c r="A15" s="39">
        <v>7</v>
      </c>
      <c r="B15" s="24" t="s">
        <v>87</v>
      </c>
      <c r="C15" s="41">
        <v>195</v>
      </c>
      <c r="D15" s="41">
        <v>12</v>
      </c>
      <c r="E15" s="41">
        <v>1210</v>
      </c>
      <c r="F15" s="23">
        <f t="shared" si="1"/>
        <v>1417</v>
      </c>
      <c r="G15" s="42"/>
      <c r="H15" s="27">
        <v>69.03</v>
      </c>
      <c r="I15" s="27">
        <v>67.27</v>
      </c>
      <c r="J15" s="27">
        <v>70.44</v>
      </c>
      <c r="K15" s="27">
        <v>70.209999999999994</v>
      </c>
      <c r="L15" s="28"/>
      <c r="M15" s="27">
        <v>236.23228</v>
      </c>
      <c r="N15" s="27">
        <v>227.94468000000001</v>
      </c>
      <c r="O15" s="27">
        <v>229.18019000000001</v>
      </c>
      <c r="P15" s="28"/>
      <c r="Q15" s="35">
        <v>3506.02</v>
      </c>
      <c r="R15" s="35">
        <v>3292.8</v>
      </c>
      <c r="S15" s="35">
        <v>3324.59</v>
      </c>
    </row>
    <row r="16" spans="1:19" s="3" customFormat="1" x14ac:dyDescent="0.2">
      <c r="A16" s="39">
        <v>8</v>
      </c>
      <c r="B16" s="24" t="s">
        <v>88</v>
      </c>
      <c r="C16" s="41">
        <v>22</v>
      </c>
      <c r="D16" s="41">
        <v>1</v>
      </c>
      <c r="E16" s="41">
        <v>1462</v>
      </c>
      <c r="F16" s="23">
        <f t="shared" si="1"/>
        <v>1485</v>
      </c>
      <c r="G16" s="42"/>
      <c r="H16" s="27">
        <v>85.69</v>
      </c>
      <c r="I16" s="27">
        <v>74</v>
      </c>
      <c r="J16" s="27">
        <v>63.25</v>
      </c>
      <c r="K16" s="27">
        <v>63.54</v>
      </c>
      <c r="L16" s="28"/>
      <c r="M16" s="27">
        <v>208.63130999999998</v>
      </c>
      <c r="N16" s="27">
        <v>179.65376000000001</v>
      </c>
      <c r="O16" s="27">
        <v>180.59421</v>
      </c>
      <c r="P16" s="28"/>
      <c r="Q16" s="35">
        <v>2749.42</v>
      </c>
      <c r="R16" s="35">
        <v>2655.11</v>
      </c>
      <c r="S16" s="35">
        <v>2658.17</v>
      </c>
    </row>
    <row r="17" spans="1:19" s="3" customFormat="1" x14ac:dyDescent="0.2">
      <c r="A17" s="39">
        <v>9</v>
      </c>
      <c r="B17" s="24" t="s">
        <v>66</v>
      </c>
      <c r="C17" s="41">
        <v>50</v>
      </c>
      <c r="D17" s="41">
        <v>6</v>
      </c>
      <c r="E17" s="41">
        <v>1131</v>
      </c>
      <c r="F17" s="23">
        <f t="shared" si="1"/>
        <v>1187</v>
      </c>
      <c r="G17" s="42"/>
      <c r="H17" s="27">
        <v>83.91</v>
      </c>
      <c r="I17" s="27">
        <v>80</v>
      </c>
      <c r="J17" s="27">
        <v>71.3</v>
      </c>
      <c r="K17" s="27">
        <v>71.900000000000006</v>
      </c>
      <c r="L17" s="28"/>
      <c r="M17" s="27">
        <v>331.88574999999997</v>
      </c>
      <c r="N17" s="27">
        <v>248.51859999999999</v>
      </c>
      <c r="O17" s="27">
        <v>256.42559</v>
      </c>
      <c r="P17" s="28"/>
      <c r="Q17" s="35">
        <v>3959.61</v>
      </c>
      <c r="R17" s="35">
        <v>3322.46</v>
      </c>
      <c r="S17" s="35">
        <v>3382.89</v>
      </c>
    </row>
    <row r="18" spans="1:19" s="3" customFormat="1" x14ac:dyDescent="0.2">
      <c r="A18" s="39">
        <v>10</v>
      </c>
      <c r="B18" s="24" t="s">
        <v>89</v>
      </c>
      <c r="C18" s="41">
        <v>210</v>
      </c>
      <c r="D18" s="41">
        <v>32</v>
      </c>
      <c r="E18" s="41">
        <v>1862</v>
      </c>
      <c r="F18" s="23">
        <f t="shared" si="1"/>
        <v>2104</v>
      </c>
      <c r="G18" s="42"/>
      <c r="H18" s="27">
        <v>77.78</v>
      </c>
      <c r="I18" s="27">
        <v>68.66</v>
      </c>
      <c r="J18" s="27">
        <v>73.150000000000006</v>
      </c>
      <c r="K18" s="27">
        <v>73.58</v>
      </c>
      <c r="L18" s="28"/>
      <c r="M18" s="27">
        <v>438.37758000000002</v>
      </c>
      <c r="N18" s="27">
        <v>305.79818999999998</v>
      </c>
      <c r="O18" s="27">
        <v>323.49288000000001</v>
      </c>
      <c r="P18" s="28"/>
      <c r="Q18" s="35">
        <v>5455.92</v>
      </c>
      <c r="R18" s="35">
        <v>4021.55</v>
      </c>
      <c r="S18" s="35">
        <v>4212.99</v>
      </c>
    </row>
    <row r="19" spans="1:19" s="3" customFormat="1" x14ac:dyDescent="0.2">
      <c r="A19" s="39"/>
      <c r="B19" s="24"/>
      <c r="C19" s="23"/>
      <c r="D19" s="23"/>
      <c r="E19" s="23"/>
      <c r="F19" s="23"/>
      <c r="G19" s="24"/>
      <c r="H19" s="25"/>
      <c r="I19" s="25"/>
      <c r="J19" s="25"/>
      <c r="K19" s="25"/>
      <c r="L19" s="26"/>
      <c r="M19" s="25"/>
      <c r="N19" s="25"/>
      <c r="O19" s="25"/>
      <c r="P19" s="26"/>
      <c r="Q19" s="34"/>
      <c r="R19" s="34"/>
      <c r="S19" s="34"/>
    </row>
    <row r="20" spans="1:19" s="3" customFormat="1" x14ac:dyDescent="0.2">
      <c r="A20" s="39"/>
      <c r="B20" s="15" t="s">
        <v>91</v>
      </c>
      <c r="C20" s="23"/>
      <c r="D20" s="23"/>
      <c r="E20" s="23"/>
      <c r="F20" s="23"/>
      <c r="G20" s="24"/>
      <c r="H20" s="25"/>
      <c r="I20" s="25"/>
      <c r="J20" s="25"/>
      <c r="K20" s="25"/>
      <c r="L20" s="26"/>
      <c r="M20" s="25"/>
      <c r="N20" s="25"/>
      <c r="O20" s="25"/>
      <c r="P20" s="26"/>
      <c r="Q20" s="34"/>
      <c r="R20" s="34"/>
      <c r="S20" s="34"/>
    </row>
    <row r="21" spans="1:19" x14ac:dyDescent="0.2">
      <c r="A21" s="39">
        <v>1</v>
      </c>
      <c r="B21" s="6" t="s">
        <v>8</v>
      </c>
      <c r="C21" s="43">
        <v>6</v>
      </c>
      <c r="D21" s="43">
        <v>7</v>
      </c>
      <c r="E21" s="43">
        <v>486</v>
      </c>
      <c r="F21" s="23">
        <f t="shared" ref="F21:F84" si="2">SUM(C21:E21)</f>
        <v>499</v>
      </c>
      <c r="G21" s="44"/>
      <c r="H21" s="21">
        <v>68.400000000000006</v>
      </c>
      <c r="I21" s="21">
        <v>71.569999999999993</v>
      </c>
      <c r="J21" s="21">
        <v>64</v>
      </c>
      <c r="K21" s="21">
        <v>64.17</v>
      </c>
      <c r="L21" s="21"/>
      <c r="M21" s="21">
        <v>392.34375</v>
      </c>
      <c r="N21" s="21">
        <v>212.37107999999998</v>
      </c>
      <c r="O21" s="21">
        <v>214.06095999999999</v>
      </c>
      <c r="P21" s="21"/>
      <c r="Q21" s="36">
        <v>6309.5</v>
      </c>
      <c r="R21" s="36">
        <v>3310.71</v>
      </c>
      <c r="S21" s="36">
        <v>3338.87</v>
      </c>
    </row>
    <row r="22" spans="1:19" x14ac:dyDescent="0.2">
      <c r="A22" s="39">
        <v>2</v>
      </c>
      <c r="B22" s="6" t="s">
        <v>9</v>
      </c>
      <c r="C22" s="43">
        <v>32</v>
      </c>
      <c r="D22" s="43">
        <v>0</v>
      </c>
      <c r="E22" s="43">
        <v>234</v>
      </c>
      <c r="F22" s="23">
        <f t="shared" si="2"/>
        <v>266</v>
      </c>
      <c r="G22" s="44"/>
      <c r="H22" s="21">
        <v>73.48</v>
      </c>
      <c r="I22" s="21">
        <v>0</v>
      </c>
      <c r="J22" s="21">
        <v>81.37</v>
      </c>
      <c r="K22" s="21">
        <v>80.650000000000006</v>
      </c>
      <c r="L22" s="21"/>
      <c r="M22" s="21">
        <v>387.28575999999998</v>
      </c>
      <c r="N22" s="21">
        <v>356.97709999999995</v>
      </c>
      <c r="O22" s="21">
        <v>359.75650000000002</v>
      </c>
      <c r="P22" s="21"/>
      <c r="Q22" s="36">
        <v>5376.61</v>
      </c>
      <c r="R22" s="36">
        <v>4409.75</v>
      </c>
      <c r="S22" s="36">
        <v>4498.41</v>
      </c>
    </row>
    <row r="23" spans="1:19" x14ac:dyDescent="0.2">
      <c r="A23" s="39">
        <v>3</v>
      </c>
      <c r="B23" s="6" t="s">
        <v>10</v>
      </c>
      <c r="C23" s="43">
        <v>35</v>
      </c>
      <c r="D23" s="43">
        <v>1</v>
      </c>
      <c r="E23" s="43">
        <v>200</v>
      </c>
      <c r="F23" s="23">
        <f t="shared" si="2"/>
        <v>236</v>
      </c>
      <c r="G23" s="44"/>
      <c r="H23" s="21">
        <v>39</v>
      </c>
      <c r="I23" s="21">
        <v>76</v>
      </c>
      <c r="J23" s="21">
        <v>44.87</v>
      </c>
      <c r="K23" s="21">
        <v>44.08</v>
      </c>
      <c r="L23" s="21"/>
      <c r="M23" s="21">
        <v>172.82424</v>
      </c>
      <c r="N23" s="21">
        <v>217.45429999999999</v>
      </c>
      <c r="O23" s="21">
        <v>210.12698</v>
      </c>
      <c r="P23" s="21"/>
      <c r="Q23" s="36">
        <v>4617.2700000000004</v>
      </c>
      <c r="R23" s="36">
        <v>5099.57</v>
      </c>
      <c r="S23" s="36">
        <v>5020.3900000000003</v>
      </c>
    </row>
    <row r="24" spans="1:19" x14ac:dyDescent="0.2">
      <c r="A24" s="39">
        <v>4</v>
      </c>
      <c r="B24" s="6" t="s">
        <v>11</v>
      </c>
      <c r="C24" s="43">
        <v>13</v>
      </c>
      <c r="D24" s="43">
        <v>0</v>
      </c>
      <c r="E24" s="43">
        <v>348</v>
      </c>
      <c r="F24" s="23">
        <f t="shared" si="2"/>
        <v>361</v>
      </c>
      <c r="G24" s="44"/>
      <c r="H24" s="21">
        <v>76.38</v>
      </c>
      <c r="I24" s="21">
        <v>0</v>
      </c>
      <c r="J24" s="21">
        <v>73.41</v>
      </c>
      <c r="K24" s="21">
        <v>73.489999999999995</v>
      </c>
      <c r="L24" s="21"/>
      <c r="M24" s="21">
        <v>345.28570999999999</v>
      </c>
      <c r="N24" s="21">
        <v>320.36453</v>
      </c>
      <c r="O24" s="21">
        <v>320.93837000000002</v>
      </c>
      <c r="P24" s="21"/>
      <c r="Q24" s="36">
        <v>4702.09</v>
      </c>
      <c r="R24" s="36">
        <v>4522.4399999999996</v>
      </c>
      <c r="S24" s="36">
        <v>4526.58</v>
      </c>
    </row>
    <row r="25" spans="1:19" x14ac:dyDescent="0.2">
      <c r="A25" s="39">
        <v>5</v>
      </c>
      <c r="B25" s="6" t="s">
        <v>12</v>
      </c>
      <c r="C25" s="43">
        <v>3</v>
      </c>
      <c r="D25" s="43">
        <v>1</v>
      </c>
      <c r="E25" s="43">
        <v>247</v>
      </c>
      <c r="F25" s="23">
        <f t="shared" si="2"/>
        <v>251</v>
      </c>
      <c r="G25" s="44"/>
      <c r="H25" s="21">
        <v>82</v>
      </c>
      <c r="I25" s="21">
        <v>0</v>
      </c>
      <c r="J25" s="21">
        <v>81.8</v>
      </c>
      <c r="K25" s="21">
        <v>81.8</v>
      </c>
      <c r="L25" s="21"/>
      <c r="M25" s="21">
        <v>361</v>
      </c>
      <c r="N25" s="21">
        <v>365.53184999999996</v>
      </c>
      <c r="O25" s="21">
        <v>365.49065000000002</v>
      </c>
      <c r="P25" s="21"/>
      <c r="Q25" s="36">
        <v>4887.2</v>
      </c>
      <c r="R25" s="36">
        <v>4523.1099999999997</v>
      </c>
      <c r="S25" s="36">
        <v>4526.42</v>
      </c>
    </row>
    <row r="26" spans="1:19" x14ac:dyDescent="0.2">
      <c r="A26" s="39">
        <v>6</v>
      </c>
      <c r="B26" s="6" t="s">
        <v>13</v>
      </c>
      <c r="C26" s="43">
        <v>9</v>
      </c>
      <c r="D26" s="43">
        <v>0</v>
      </c>
      <c r="E26" s="43">
        <v>438</v>
      </c>
      <c r="F26" s="23">
        <f t="shared" si="2"/>
        <v>447</v>
      </c>
      <c r="G26" s="44"/>
      <c r="H26" s="21">
        <v>72</v>
      </c>
      <c r="I26" s="21">
        <v>0</v>
      </c>
      <c r="J26" s="21">
        <v>72.42</v>
      </c>
      <c r="K26" s="21">
        <v>72.41</v>
      </c>
      <c r="L26" s="21"/>
      <c r="M26" s="21">
        <v>279.72188</v>
      </c>
      <c r="N26" s="21">
        <v>322.14024999999998</v>
      </c>
      <c r="O26" s="21">
        <v>321.25882999999999</v>
      </c>
      <c r="P26" s="21"/>
      <c r="Q26" s="36">
        <v>3880.13</v>
      </c>
      <c r="R26" s="36">
        <v>4567.8100000000004</v>
      </c>
      <c r="S26" s="36">
        <v>4553.5200000000004</v>
      </c>
    </row>
    <row r="27" spans="1:19" x14ac:dyDescent="0.2">
      <c r="A27" s="39">
        <v>7</v>
      </c>
      <c r="B27" s="6" t="s">
        <v>14</v>
      </c>
      <c r="C27" s="43">
        <v>93</v>
      </c>
      <c r="D27" s="43">
        <v>0</v>
      </c>
      <c r="E27" s="43">
        <v>486</v>
      </c>
      <c r="F27" s="23">
        <f t="shared" si="2"/>
        <v>579</v>
      </c>
      <c r="G27" s="44"/>
      <c r="H27" s="21">
        <v>112.41</v>
      </c>
      <c r="I27" s="21">
        <v>0</v>
      </c>
      <c r="J27" s="21">
        <v>117.61</v>
      </c>
      <c r="K27" s="21">
        <v>116.77</v>
      </c>
      <c r="L27" s="21"/>
      <c r="M27" s="21">
        <v>941.37679000000003</v>
      </c>
      <c r="N27" s="21">
        <v>690.16476</v>
      </c>
      <c r="O27" s="21">
        <v>731.12860999999998</v>
      </c>
      <c r="P27" s="21"/>
      <c r="Q27" s="36">
        <v>8382.2000000000007</v>
      </c>
      <c r="R27" s="36">
        <v>5813.18</v>
      </c>
      <c r="S27" s="36">
        <v>6232.1</v>
      </c>
    </row>
    <row r="28" spans="1:19" x14ac:dyDescent="0.2">
      <c r="A28" s="39">
        <v>8</v>
      </c>
      <c r="B28" s="6" t="s">
        <v>15</v>
      </c>
      <c r="C28" s="43">
        <v>48</v>
      </c>
      <c r="D28" s="43">
        <v>0</v>
      </c>
      <c r="E28" s="43">
        <v>417</v>
      </c>
      <c r="F28" s="23">
        <f t="shared" si="2"/>
        <v>465</v>
      </c>
      <c r="G28" s="44"/>
      <c r="H28" s="21">
        <v>105.49</v>
      </c>
      <c r="I28" s="21">
        <v>0</v>
      </c>
      <c r="J28" s="21">
        <v>96.6</v>
      </c>
      <c r="K28" s="21">
        <v>97.55</v>
      </c>
      <c r="L28" s="21"/>
      <c r="M28" s="21">
        <v>874.07187999999996</v>
      </c>
      <c r="N28" s="21">
        <v>500.09070000000003</v>
      </c>
      <c r="O28" s="21">
        <v>539.83749</v>
      </c>
      <c r="P28" s="21"/>
      <c r="Q28" s="36">
        <v>8105.17</v>
      </c>
      <c r="R28" s="36">
        <v>5260.54</v>
      </c>
      <c r="S28" s="36">
        <v>5562.87</v>
      </c>
    </row>
    <row r="29" spans="1:19" x14ac:dyDescent="0.2">
      <c r="A29" s="39">
        <v>9</v>
      </c>
      <c r="B29" s="6" t="s">
        <v>16</v>
      </c>
      <c r="C29" s="43">
        <v>95</v>
      </c>
      <c r="D29" s="43">
        <v>12</v>
      </c>
      <c r="E29" s="43">
        <v>386</v>
      </c>
      <c r="F29" s="23">
        <f t="shared" si="2"/>
        <v>493</v>
      </c>
      <c r="G29" s="44"/>
      <c r="H29" s="21">
        <v>77.17</v>
      </c>
      <c r="I29" s="21">
        <v>84.57</v>
      </c>
      <c r="J29" s="21">
        <v>79.66</v>
      </c>
      <c r="K29" s="21">
        <v>79.260000000000005</v>
      </c>
      <c r="L29" s="21"/>
      <c r="M29" s="21">
        <v>341.67401000000001</v>
      </c>
      <c r="N29" s="21">
        <v>353.57130999999998</v>
      </c>
      <c r="O29" s="21">
        <v>351.03530999999998</v>
      </c>
      <c r="P29" s="21"/>
      <c r="Q29" s="36">
        <v>4420.07</v>
      </c>
      <c r="R29" s="36">
        <v>4567.8999999999996</v>
      </c>
      <c r="S29" s="36">
        <v>4536.3900000000003</v>
      </c>
    </row>
    <row r="30" spans="1:19" x14ac:dyDescent="0.2">
      <c r="A30" s="39">
        <v>10</v>
      </c>
      <c r="B30" s="6" t="s">
        <v>17</v>
      </c>
      <c r="C30" s="43">
        <v>8</v>
      </c>
      <c r="D30" s="43">
        <v>2</v>
      </c>
      <c r="E30" s="43">
        <v>320</v>
      </c>
      <c r="F30" s="23">
        <f t="shared" si="2"/>
        <v>330</v>
      </c>
      <c r="G30" s="44"/>
      <c r="H30" s="21">
        <v>193.5</v>
      </c>
      <c r="I30" s="21">
        <v>92</v>
      </c>
      <c r="J30" s="21">
        <v>82.04</v>
      </c>
      <c r="K30" s="21">
        <v>85.21</v>
      </c>
      <c r="L30" s="21"/>
      <c r="M30" s="21">
        <v>436.8</v>
      </c>
      <c r="N30" s="21">
        <v>349.72649000000001</v>
      </c>
      <c r="O30" s="21">
        <v>352.33542999999997</v>
      </c>
      <c r="P30" s="21"/>
      <c r="Q30" s="36">
        <v>3202.4</v>
      </c>
      <c r="R30" s="36">
        <v>4387.92</v>
      </c>
      <c r="S30" s="36">
        <v>4352.3999999999996</v>
      </c>
    </row>
    <row r="31" spans="1:19" x14ac:dyDescent="0.2">
      <c r="A31" s="39">
        <v>11</v>
      </c>
      <c r="B31" s="6" t="s">
        <v>18</v>
      </c>
      <c r="C31" s="43">
        <v>6</v>
      </c>
      <c r="D31" s="43">
        <v>0</v>
      </c>
      <c r="E31" s="43">
        <v>432</v>
      </c>
      <c r="F31" s="23">
        <f t="shared" si="2"/>
        <v>438</v>
      </c>
      <c r="G31" s="44"/>
      <c r="H31" s="21">
        <v>77.33</v>
      </c>
      <c r="I31" s="21">
        <v>0</v>
      </c>
      <c r="J31" s="21">
        <v>63.02</v>
      </c>
      <c r="K31" s="21">
        <v>63.13</v>
      </c>
      <c r="L31" s="21"/>
      <c r="M31" s="21">
        <v>291.00033000000002</v>
      </c>
      <c r="N31" s="21">
        <v>230.51904000000002</v>
      </c>
      <c r="O31" s="21">
        <v>231.03304999999997</v>
      </c>
      <c r="P31" s="21"/>
      <c r="Q31" s="36">
        <v>3842.35</v>
      </c>
      <c r="R31" s="36">
        <v>3847.66</v>
      </c>
      <c r="S31" s="36">
        <v>3847.61</v>
      </c>
    </row>
    <row r="32" spans="1:19" x14ac:dyDescent="0.2">
      <c r="A32" s="39">
        <v>12</v>
      </c>
      <c r="B32" s="6" t="s">
        <v>19</v>
      </c>
      <c r="C32" s="43">
        <v>0</v>
      </c>
      <c r="D32" s="43">
        <v>0</v>
      </c>
      <c r="E32" s="43">
        <v>9</v>
      </c>
      <c r="F32" s="23">
        <f t="shared" si="2"/>
        <v>9</v>
      </c>
      <c r="G32" s="44"/>
      <c r="H32" s="21">
        <v>0</v>
      </c>
      <c r="I32" s="21">
        <v>0</v>
      </c>
      <c r="J32" s="21">
        <v>81.14</v>
      </c>
      <c r="K32" s="21">
        <v>81.14</v>
      </c>
      <c r="L32" s="21"/>
      <c r="M32" s="21">
        <v>0</v>
      </c>
      <c r="N32" s="21">
        <v>129.68805</v>
      </c>
      <c r="O32" s="21">
        <v>129.68805</v>
      </c>
      <c r="P32" s="21"/>
      <c r="Q32" s="36">
        <v>0</v>
      </c>
      <c r="R32" s="36">
        <v>1619.39</v>
      </c>
      <c r="S32" s="36">
        <v>1619.39</v>
      </c>
    </row>
    <row r="33" spans="1:19" x14ac:dyDescent="0.2">
      <c r="A33" s="39">
        <v>13</v>
      </c>
      <c r="B33" s="6" t="s">
        <v>20</v>
      </c>
      <c r="C33" s="43">
        <v>11</v>
      </c>
      <c r="D33" s="43">
        <v>0</v>
      </c>
      <c r="E33" s="43">
        <v>262</v>
      </c>
      <c r="F33" s="23">
        <f t="shared" si="2"/>
        <v>273</v>
      </c>
      <c r="G33" s="44"/>
      <c r="H33" s="21">
        <v>63.18</v>
      </c>
      <c r="I33" s="21">
        <v>0</v>
      </c>
      <c r="J33" s="21">
        <v>68.86</v>
      </c>
      <c r="K33" s="21">
        <v>68.599999999999994</v>
      </c>
      <c r="L33" s="21"/>
      <c r="M33" s="21">
        <v>213.88909000000001</v>
      </c>
      <c r="N33" s="21">
        <v>218.63651999999999</v>
      </c>
      <c r="O33" s="21">
        <v>218.16177999999999</v>
      </c>
      <c r="P33" s="21"/>
      <c r="Q33" s="36">
        <v>3517.61</v>
      </c>
      <c r="R33" s="36">
        <v>3371.47</v>
      </c>
      <c r="S33" s="36">
        <v>3386.08</v>
      </c>
    </row>
    <row r="34" spans="1:19" x14ac:dyDescent="0.2">
      <c r="A34" s="39">
        <v>14</v>
      </c>
      <c r="B34" s="6" t="s">
        <v>21</v>
      </c>
      <c r="C34" s="43">
        <v>6</v>
      </c>
      <c r="D34" s="43">
        <v>0</v>
      </c>
      <c r="E34" s="43">
        <v>70</v>
      </c>
      <c r="F34" s="23">
        <f t="shared" si="2"/>
        <v>76</v>
      </c>
      <c r="G34" s="44"/>
      <c r="H34" s="21">
        <v>77.83</v>
      </c>
      <c r="I34" s="21">
        <v>0</v>
      </c>
      <c r="J34" s="21">
        <v>78.150000000000006</v>
      </c>
      <c r="K34" s="21">
        <v>78.12</v>
      </c>
      <c r="L34" s="21"/>
      <c r="M34" s="21">
        <v>190.83332999999999</v>
      </c>
      <c r="N34" s="21">
        <v>271.91179999999997</v>
      </c>
      <c r="O34" s="21">
        <v>264.54103000000003</v>
      </c>
      <c r="P34" s="21"/>
      <c r="Q34" s="36">
        <v>2489.39</v>
      </c>
      <c r="R34" s="36">
        <v>3594.83</v>
      </c>
      <c r="S34" s="36">
        <v>3494.34</v>
      </c>
    </row>
    <row r="35" spans="1:19" x14ac:dyDescent="0.2">
      <c r="A35" s="39">
        <v>15</v>
      </c>
      <c r="B35" s="6" t="s">
        <v>22</v>
      </c>
      <c r="C35" s="43">
        <v>37</v>
      </c>
      <c r="D35" s="43">
        <v>1</v>
      </c>
      <c r="E35" s="43">
        <v>130</v>
      </c>
      <c r="F35" s="23">
        <f t="shared" si="2"/>
        <v>168</v>
      </c>
      <c r="G35" s="44"/>
      <c r="H35" s="21">
        <v>67.22</v>
      </c>
      <c r="I35" s="21">
        <v>48</v>
      </c>
      <c r="J35" s="21">
        <v>66.81</v>
      </c>
      <c r="K35" s="21">
        <v>66.77</v>
      </c>
      <c r="L35" s="21"/>
      <c r="M35" s="21">
        <v>199.73875000000001</v>
      </c>
      <c r="N35" s="21">
        <v>222.01949999999999</v>
      </c>
      <c r="O35" s="21">
        <v>217.16926999999998</v>
      </c>
      <c r="P35" s="21"/>
      <c r="Q35" s="36">
        <v>3163.84</v>
      </c>
      <c r="R35" s="36">
        <v>3397.98</v>
      </c>
      <c r="S35" s="36">
        <v>3347.01</v>
      </c>
    </row>
    <row r="36" spans="1:19" x14ac:dyDescent="0.2">
      <c r="A36" s="39">
        <v>16</v>
      </c>
      <c r="B36" s="6" t="s">
        <v>23</v>
      </c>
      <c r="C36" s="43">
        <v>64</v>
      </c>
      <c r="D36" s="43">
        <v>0</v>
      </c>
      <c r="E36" s="43">
        <v>141</v>
      </c>
      <c r="F36" s="23">
        <f t="shared" si="2"/>
        <v>205</v>
      </c>
      <c r="G36" s="44"/>
      <c r="H36" s="21">
        <v>88.3</v>
      </c>
      <c r="I36" s="21">
        <v>0</v>
      </c>
      <c r="J36" s="21">
        <v>67.92</v>
      </c>
      <c r="K36" s="21">
        <v>74.45</v>
      </c>
      <c r="L36" s="21"/>
      <c r="M36" s="21">
        <v>393.79415999999998</v>
      </c>
      <c r="N36" s="21">
        <v>222.29925</v>
      </c>
      <c r="O36" s="21">
        <v>323.07461000000001</v>
      </c>
      <c r="P36" s="21"/>
      <c r="Q36" s="36">
        <v>4426.42</v>
      </c>
      <c r="R36" s="36">
        <v>3412.2</v>
      </c>
      <c r="S36" s="36">
        <v>4008.18</v>
      </c>
    </row>
    <row r="37" spans="1:19" x14ac:dyDescent="0.2">
      <c r="A37" s="39">
        <v>17</v>
      </c>
      <c r="B37" s="6" t="s">
        <v>24</v>
      </c>
      <c r="C37" s="43">
        <v>28</v>
      </c>
      <c r="D37" s="43">
        <v>0</v>
      </c>
      <c r="E37" s="43">
        <v>218</v>
      </c>
      <c r="F37" s="23">
        <f t="shared" si="2"/>
        <v>246</v>
      </c>
      <c r="G37" s="44"/>
      <c r="H37" s="21">
        <v>69.94</v>
      </c>
      <c r="I37" s="21">
        <v>0</v>
      </c>
      <c r="J37" s="21">
        <v>66.81</v>
      </c>
      <c r="K37" s="21">
        <v>67.099999999999994</v>
      </c>
      <c r="L37" s="21"/>
      <c r="M37" s="21">
        <v>267.63889</v>
      </c>
      <c r="N37" s="21">
        <v>252.76961</v>
      </c>
      <c r="O37" s="21">
        <v>256.76434</v>
      </c>
      <c r="P37" s="21"/>
      <c r="Q37" s="36">
        <v>3781.27</v>
      </c>
      <c r="R37" s="36">
        <v>3345.89</v>
      </c>
      <c r="S37" s="36">
        <v>3462.86</v>
      </c>
    </row>
    <row r="38" spans="1:19" x14ac:dyDescent="0.2">
      <c r="A38" s="39">
        <v>18</v>
      </c>
      <c r="B38" s="6" t="s">
        <v>25</v>
      </c>
      <c r="C38" s="43">
        <v>15</v>
      </c>
      <c r="D38" s="43">
        <v>0</v>
      </c>
      <c r="E38" s="43">
        <v>334</v>
      </c>
      <c r="F38" s="23">
        <f t="shared" si="2"/>
        <v>349</v>
      </c>
      <c r="G38" s="44"/>
      <c r="H38" s="21">
        <v>75.83</v>
      </c>
      <c r="I38" s="21">
        <v>0</v>
      </c>
      <c r="J38" s="21">
        <v>71.17</v>
      </c>
      <c r="K38" s="21">
        <v>71.36</v>
      </c>
      <c r="L38" s="21"/>
      <c r="M38" s="21">
        <v>236.41667000000001</v>
      </c>
      <c r="N38" s="21">
        <v>314.47172999999998</v>
      </c>
      <c r="O38" s="21">
        <v>309.26805999999999</v>
      </c>
      <c r="P38" s="21"/>
      <c r="Q38" s="36">
        <v>3242.23</v>
      </c>
      <c r="R38" s="36">
        <v>4251.9399999999996</v>
      </c>
      <c r="S38" s="36">
        <v>4184.63</v>
      </c>
    </row>
    <row r="39" spans="1:19" x14ac:dyDescent="0.2">
      <c r="A39" s="39">
        <v>19</v>
      </c>
      <c r="B39" s="6" t="s">
        <v>26</v>
      </c>
      <c r="C39" s="43">
        <v>12</v>
      </c>
      <c r="D39" s="43">
        <v>0</v>
      </c>
      <c r="E39" s="43">
        <v>324</v>
      </c>
      <c r="F39" s="23">
        <f t="shared" si="2"/>
        <v>336</v>
      </c>
      <c r="G39" s="44"/>
      <c r="H39" s="21">
        <v>92.36</v>
      </c>
      <c r="I39" s="21">
        <v>0</v>
      </c>
      <c r="J39" s="21">
        <v>88.29</v>
      </c>
      <c r="K39" s="21">
        <v>88.44</v>
      </c>
      <c r="L39" s="21"/>
      <c r="M39" s="21">
        <v>600.64727000000005</v>
      </c>
      <c r="N39" s="21">
        <v>434.89344</v>
      </c>
      <c r="O39" s="21">
        <v>442.21590000000003</v>
      </c>
      <c r="P39" s="21"/>
      <c r="Q39" s="36">
        <v>6541.33</v>
      </c>
      <c r="R39" s="36">
        <v>4814.1400000000003</v>
      </c>
      <c r="S39" s="36">
        <v>4890.4399999999996</v>
      </c>
    </row>
    <row r="40" spans="1:19" x14ac:dyDescent="0.2">
      <c r="A40" s="39">
        <v>20</v>
      </c>
      <c r="B40" s="6" t="s">
        <v>27</v>
      </c>
      <c r="C40" s="43">
        <v>1</v>
      </c>
      <c r="D40" s="43">
        <v>0</v>
      </c>
      <c r="E40" s="43">
        <v>141</v>
      </c>
      <c r="F40" s="23">
        <f t="shared" si="2"/>
        <v>142</v>
      </c>
      <c r="G40" s="44"/>
      <c r="H40" s="21">
        <v>145</v>
      </c>
      <c r="I40" s="21">
        <v>0</v>
      </c>
      <c r="J40" s="21">
        <v>79.61</v>
      </c>
      <c r="K40" s="21">
        <v>80.180000000000007</v>
      </c>
      <c r="L40" s="21"/>
      <c r="M40" s="21">
        <v>0</v>
      </c>
      <c r="N40" s="21">
        <v>406.13027</v>
      </c>
      <c r="O40" s="21">
        <v>410.25322999999997</v>
      </c>
      <c r="P40" s="21"/>
      <c r="Q40" s="36">
        <v>0</v>
      </c>
      <c r="R40" s="36">
        <v>4801.21</v>
      </c>
      <c r="S40" s="36">
        <v>4798.3900000000003</v>
      </c>
    </row>
    <row r="41" spans="1:19" x14ac:dyDescent="0.2">
      <c r="A41" s="39">
        <v>21</v>
      </c>
      <c r="B41" s="6" t="s">
        <v>28</v>
      </c>
      <c r="C41" s="43">
        <v>5</v>
      </c>
      <c r="D41" s="43">
        <v>0</v>
      </c>
      <c r="E41" s="43">
        <v>106</v>
      </c>
      <c r="F41" s="23">
        <f t="shared" si="2"/>
        <v>111</v>
      </c>
      <c r="G41" s="44"/>
      <c r="H41" s="21">
        <v>118.2</v>
      </c>
      <c r="I41" s="21">
        <v>0</v>
      </c>
      <c r="J41" s="21">
        <v>155.83000000000001</v>
      </c>
      <c r="K41" s="21">
        <v>153.83000000000001</v>
      </c>
      <c r="L41" s="21"/>
      <c r="M41" s="21">
        <v>685</v>
      </c>
      <c r="N41" s="21">
        <v>921.73350000000005</v>
      </c>
      <c r="O41" s="21">
        <v>908.58163999999999</v>
      </c>
      <c r="P41" s="21"/>
      <c r="Q41" s="36">
        <v>5695.21</v>
      </c>
      <c r="R41" s="36">
        <v>5647.6</v>
      </c>
      <c r="S41" s="36">
        <v>5650.24</v>
      </c>
    </row>
    <row r="42" spans="1:19" x14ac:dyDescent="0.2">
      <c r="A42" s="39">
        <v>22</v>
      </c>
      <c r="B42" s="6" t="s">
        <v>29</v>
      </c>
      <c r="C42" s="43">
        <v>2</v>
      </c>
      <c r="D42" s="43">
        <v>0</v>
      </c>
      <c r="E42" s="43">
        <v>26</v>
      </c>
      <c r="F42" s="23">
        <f t="shared" si="2"/>
        <v>28</v>
      </c>
      <c r="G42" s="44"/>
      <c r="H42" s="21">
        <v>250.5</v>
      </c>
      <c r="I42" s="21">
        <v>0</v>
      </c>
      <c r="J42" s="21">
        <v>130.74</v>
      </c>
      <c r="K42" s="21">
        <v>142.15</v>
      </c>
      <c r="L42" s="21"/>
      <c r="M42" s="21">
        <v>0</v>
      </c>
      <c r="N42" s="21">
        <v>422.68178</v>
      </c>
      <c r="O42" s="21">
        <v>394.10255999999998</v>
      </c>
      <c r="P42" s="21"/>
      <c r="Q42" s="36">
        <v>0</v>
      </c>
      <c r="R42" s="36">
        <v>4538.2299999999996</v>
      </c>
      <c r="S42" s="36">
        <v>4250.91</v>
      </c>
    </row>
    <row r="43" spans="1:19" x14ac:dyDescent="0.2">
      <c r="A43" s="39">
        <v>23</v>
      </c>
      <c r="B43" s="6" t="s">
        <v>30</v>
      </c>
      <c r="C43" s="43">
        <v>19</v>
      </c>
      <c r="D43" s="43">
        <v>0</v>
      </c>
      <c r="E43" s="43">
        <v>181</v>
      </c>
      <c r="F43" s="23">
        <f t="shared" si="2"/>
        <v>200</v>
      </c>
      <c r="G43" s="44"/>
      <c r="H43" s="21">
        <v>130.63</v>
      </c>
      <c r="I43" s="21">
        <v>0</v>
      </c>
      <c r="J43" s="21">
        <v>111.68</v>
      </c>
      <c r="K43" s="21">
        <v>113.76</v>
      </c>
      <c r="L43" s="21"/>
      <c r="M43" s="21">
        <v>1408.6413500000001</v>
      </c>
      <c r="N43" s="21">
        <v>766.73073999999997</v>
      </c>
      <c r="O43" s="21">
        <v>843.43704000000002</v>
      </c>
      <c r="P43" s="21"/>
      <c r="Q43" s="36">
        <v>10899.95</v>
      </c>
      <c r="R43" s="36">
        <v>6539.03</v>
      </c>
      <c r="S43" s="36">
        <v>7060.15</v>
      </c>
    </row>
    <row r="44" spans="1:19" x14ac:dyDescent="0.2">
      <c r="A44" s="39">
        <v>24</v>
      </c>
      <c r="B44" s="6" t="s">
        <v>31</v>
      </c>
      <c r="C44" s="43">
        <v>3</v>
      </c>
      <c r="D44" s="43">
        <v>0</v>
      </c>
      <c r="E44" s="43">
        <v>100</v>
      </c>
      <c r="F44" s="23">
        <f t="shared" si="2"/>
        <v>103</v>
      </c>
      <c r="G44" s="44"/>
      <c r="H44" s="21">
        <v>144.66999999999999</v>
      </c>
      <c r="I44" s="21">
        <v>0</v>
      </c>
      <c r="J44" s="21">
        <v>146</v>
      </c>
      <c r="K44" s="21">
        <v>145.96</v>
      </c>
      <c r="L44" s="21"/>
      <c r="M44" s="21">
        <v>803.66667000000007</v>
      </c>
      <c r="N44" s="21">
        <v>960.26621999999998</v>
      </c>
      <c r="O44" s="21">
        <v>954.98757999999998</v>
      </c>
      <c r="P44" s="21"/>
      <c r="Q44" s="36">
        <v>5617.54</v>
      </c>
      <c r="R44" s="36">
        <v>6597.31</v>
      </c>
      <c r="S44" s="36">
        <v>6564.28</v>
      </c>
    </row>
    <row r="45" spans="1:19" x14ac:dyDescent="0.2">
      <c r="A45" s="39">
        <v>25</v>
      </c>
      <c r="B45" s="6" t="s">
        <v>32</v>
      </c>
      <c r="C45" s="43">
        <v>36</v>
      </c>
      <c r="D45" s="43">
        <v>0</v>
      </c>
      <c r="E45" s="43">
        <v>150</v>
      </c>
      <c r="F45" s="23">
        <f t="shared" si="2"/>
        <v>186</v>
      </c>
      <c r="G45" s="44"/>
      <c r="H45" s="21">
        <v>108.91</v>
      </c>
      <c r="I45" s="21">
        <v>0</v>
      </c>
      <c r="J45" s="21">
        <v>134.09</v>
      </c>
      <c r="K45" s="21">
        <v>128.93</v>
      </c>
      <c r="L45" s="21"/>
      <c r="M45" s="21">
        <v>777.13234999999997</v>
      </c>
      <c r="N45" s="21">
        <v>820.22155000000009</v>
      </c>
      <c r="O45" s="21">
        <v>811.39605000000006</v>
      </c>
      <c r="P45" s="21"/>
      <c r="Q45" s="36">
        <v>7757.79</v>
      </c>
      <c r="R45" s="36">
        <v>6078.14</v>
      </c>
      <c r="S45" s="36">
        <v>6422.16</v>
      </c>
    </row>
    <row r="46" spans="1:19" x14ac:dyDescent="0.2">
      <c r="A46" s="39">
        <v>26</v>
      </c>
      <c r="B46" s="6" t="s">
        <v>33</v>
      </c>
      <c r="C46" s="43">
        <v>76</v>
      </c>
      <c r="D46" s="43">
        <v>0</v>
      </c>
      <c r="E46" s="43">
        <v>345</v>
      </c>
      <c r="F46" s="23">
        <f t="shared" si="2"/>
        <v>421</v>
      </c>
      <c r="G46" s="44"/>
      <c r="H46" s="21">
        <v>121.1</v>
      </c>
      <c r="I46" s="21">
        <v>0</v>
      </c>
      <c r="J46" s="21">
        <v>137.72</v>
      </c>
      <c r="K46" s="21">
        <v>134.76</v>
      </c>
      <c r="L46" s="21"/>
      <c r="M46" s="21">
        <v>709.48130000000003</v>
      </c>
      <c r="N46" s="21">
        <v>796.61653999999999</v>
      </c>
      <c r="O46" s="21">
        <v>780.96490000000006</v>
      </c>
      <c r="P46" s="21"/>
      <c r="Q46" s="36">
        <v>5907.17</v>
      </c>
      <c r="R46" s="36">
        <v>5818.93</v>
      </c>
      <c r="S46" s="36">
        <v>5834.78</v>
      </c>
    </row>
    <row r="47" spans="1:19" x14ac:dyDescent="0.2">
      <c r="A47" s="39">
        <v>27</v>
      </c>
      <c r="B47" s="6" t="s">
        <v>34</v>
      </c>
      <c r="C47" s="43">
        <v>9</v>
      </c>
      <c r="D47" s="43">
        <v>1</v>
      </c>
      <c r="E47" s="43">
        <v>171</v>
      </c>
      <c r="F47" s="23">
        <f t="shared" si="2"/>
        <v>181</v>
      </c>
      <c r="G47" s="44"/>
      <c r="H47" s="21">
        <v>83</v>
      </c>
      <c r="I47" s="21">
        <v>72</v>
      </c>
      <c r="J47" s="21">
        <v>122.24</v>
      </c>
      <c r="K47" s="21">
        <v>119.73</v>
      </c>
      <c r="L47" s="21"/>
      <c r="M47" s="21">
        <v>491.77778000000001</v>
      </c>
      <c r="N47" s="21">
        <v>515.93223</v>
      </c>
      <c r="O47" s="21">
        <v>514.57353999999998</v>
      </c>
      <c r="P47" s="21"/>
      <c r="Q47" s="36">
        <v>6267.46</v>
      </c>
      <c r="R47" s="36">
        <v>4564.13</v>
      </c>
      <c r="S47" s="36">
        <v>4659.9399999999996</v>
      </c>
    </row>
    <row r="48" spans="1:19" x14ac:dyDescent="0.2">
      <c r="A48" s="39">
        <v>28</v>
      </c>
      <c r="B48" s="6" t="s">
        <v>35</v>
      </c>
      <c r="C48" s="43">
        <v>32</v>
      </c>
      <c r="D48" s="43">
        <v>1</v>
      </c>
      <c r="E48" s="43">
        <v>94</v>
      </c>
      <c r="F48" s="23">
        <f t="shared" si="2"/>
        <v>127</v>
      </c>
      <c r="G48" s="44"/>
      <c r="H48" s="21">
        <v>88.28</v>
      </c>
      <c r="I48" s="21">
        <v>0</v>
      </c>
      <c r="J48" s="21">
        <v>86.98</v>
      </c>
      <c r="K48" s="21">
        <v>87.32</v>
      </c>
      <c r="L48" s="21"/>
      <c r="M48" s="21">
        <v>421.00084000000004</v>
      </c>
      <c r="N48" s="21">
        <v>344.83471000000003</v>
      </c>
      <c r="O48" s="21">
        <v>365.28672999999998</v>
      </c>
      <c r="P48" s="21"/>
      <c r="Q48" s="36">
        <v>4973.55</v>
      </c>
      <c r="R48" s="36">
        <v>4085.89</v>
      </c>
      <c r="S48" s="36">
        <v>4324.24</v>
      </c>
    </row>
    <row r="49" spans="1:19" x14ac:dyDescent="0.2">
      <c r="A49" s="39">
        <v>29</v>
      </c>
      <c r="B49" s="6" t="s">
        <v>36</v>
      </c>
      <c r="C49" s="43">
        <v>26</v>
      </c>
      <c r="D49" s="43">
        <v>0</v>
      </c>
      <c r="E49" s="43">
        <v>59</v>
      </c>
      <c r="F49" s="23">
        <f t="shared" si="2"/>
        <v>85</v>
      </c>
      <c r="G49" s="44"/>
      <c r="H49" s="21">
        <v>60.36</v>
      </c>
      <c r="I49" s="21">
        <v>0</v>
      </c>
      <c r="J49" s="21">
        <v>71</v>
      </c>
      <c r="K49" s="21">
        <v>67.88</v>
      </c>
      <c r="L49" s="21"/>
      <c r="M49" s="21">
        <v>205.43170999999998</v>
      </c>
      <c r="N49" s="21">
        <v>222.79701</v>
      </c>
      <c r="O49" s="21">
        <v>217.49095</v>
      </c>
      <c r="P49" s="21"/>
      <c r="Q49" s="36">
        <v>3319.94</v>
      </c>
      <c r="R49" s="36">
        <v>3134.6</v>
      </c>
      <c r="S49" s="36">
        <v>3191.23</v>
      </c>
    </row>
    <row r="50" spans="1:19" x14ac:dyDescent="0.2">
      <c r="A50" s="39">
        <v>30</v>
      </c>
      <c r="B50" s="6" t="s">
        <v>37</v>
      </c>
      <c r="C50" s="43">
        <v>2</v>
      </c>
      <c r="D50" s="43">
        <v>0</v>
      </c>
      <c r="E50" s="43">
        <v>137</v>
      </c>
      <c r="F50" s="23">
        <f t="shared" si="2"/>
        <v>139</v>
      </c>
      <c r="G50" s="44"/>
      <c r="H50" s="21">
        <v>80</v>
      </c>
      <c r="I50" s="21">
        <v>0</v>
      </c>
      <c r="J50" s="21">
        <v>83.27</v>
      </c>
      <c r="K50" s="21">
        <v>83.22</v>
      </c>
      <c r="L50" s="21"/>
      <c r="M50" s="21">
        <v>0</v>
      </c>
      <c r="N50" s="21">
        <v>371.04872999999998</v>
      </c>
      <c r="O50" s="21">
        <v>369.82140999999996</v>
      </c>
      <c r="P50" s="21"/>
      <c r="Q50" s="36">
        <v>0</v>
      </c>
      <c r="R50" s="36">
        <v>4498.3599999999997</v>
      </c>
      <c r="S50" s="36">
        <v>4485.7</v>
      </c>
    </row>
    <row r="51" spans="1:19" x14ac:dyDescent="0.2">
      <c r="A51" s="39">
        <v>31</v>
      </c>
      <c r="B51" s="6" t="s">
        <v>38</v>
      </c>
      <c r="C51" s="43">
        <v>26</v>
      </c>
      <c r="D51" s="43">
        <v>0</v>
      </c>
      <c r="E51" s="43">
        <v>472</v>
      </c>
      <c r="F51" s="23">
        <f t="shared" si="2"/>
        <v>498</v>
      </c>
      <c r="G51" s="44"/>
      <c r="H51" s="21">
        <v>111.18</v>
      </c>
      <c r="I51" s="21">
        <v>0</v>
      </c>
      <c r="J51" s="21">
        <v>81.81</v>
      </c>
      <c r="K51" s="21">
        <v>83.27</v>
      </c>
      <c r="L51" s="21"/>
      <c r="M51" s="21">
        <v>1270.00737</v>
      </c>
      <c r="N51" s="21">
        <v>385.17624000000001</v>
      </c>
      <c r="O51" s="21">
        <v>429.31747999999999</v>
      </c>
      <c r="P51" s="21"/>
      <c r="Q51" s="36">
        <v>8498.18</v>
      </c>
      <c r="R51" s="36">
        <v>4884.88</v>
      </c>
      <c r="S51" s="36">
        <v>5065.1400000000003</v>
      </c>
    </row>
    <row r="52" spans="1:19" x14ac:dyDescent="0.2">
      <c r="A52" s="39">
        <v>32</v>
      </c>
      <c r="B52" s="6" t="s">
        <v>39</v>
      </c>
      <c r="C52" s="43">
        <v>2</v>
      </c>
      <c r="D52" s="43">
        <v>0</v>
      </c>
      <c r="E52" s="43">
        <v>331</v>
      </c>
      <c r="F52" s="23">
        <f t="shared" si="2"/>
        <v>333</v>
      </c>
      <c r="G52" s="44"/>
      <c r="H52" s="21">
        <v>115.5</v>
      </c>
      <c r="I52" s="21">
        <v>0</v>
      </c>
      <c r="J52" s="21">
        <v>71.430000000000007</v>
      </c>
      <c r="K52" s="21">
        <v>71.739999999999995</v>
      </c>
      <c r="L52" s="21"/>
      <c r="M52" s="21">
        <v>0</v>
      </c>
      <c r="N52" s="21">
        <v>321.97858000000002</v>
      </c>
      <c r="O52" s="21">
        <v>324.49109999999996</v>
      </c>
      <c r="P52" s="21"/>
      <c r="Q52" s="36">
        <v>0</v>
      </c>
      <c r="R52" s="36">
        <v>4587.2700000000004</v>
      </c>
      <c r="S52" s="36">
        <v>4596.3500000000004</v>
      </c>
    </row>
    <row r="53" spans="1:19" x14ac:dyDescent="0.2">
      <c r="A53" s="39">
        <v>33</v>
      </c>
      <c r="B53" s="6" t="s">
        <v>40</v>
      </c>
      <c r="C53" s="43">
        <v>21</v>
      </c>
      <c r="D53" s="43">
        <v>0</v>
      </c>
      <c r="E53" s="43">
        <v>210</v>
      </c>
      <c r="F53" s="23">
        <f t="shared" si="2"/>
        <v>231</v>
      </c>
      <c r="G53" s="44"/>
      <c r="H53" s="21">
        <v>60.05</v>
      </c>
      <c r="I53" s="21">
        <v>0</v>
      </c>
      <c r="J53" s="21">
        <v>71.13</v>
      </c>
      <c r="K53" s="21">
        <v>70</v>
      </c>
      <c r="L53" s="21"/>
      <c r="M53" s="21">
        <v>236.78946999999999</v>
      </c>
      <c r="N53" s="21">
        <v>267.38972999999999</v>
      </c>
      <c r="O53" s="21">
        <v>264.36158</v>
      </c>
      <c r="P53" s="21"/>
      <c r="Q53" s="36">
        <v>4030.21</v>
      </c>
      <c r="R53" s="36">
        <v>3848.06</v>
      </c>
      <c r="S53" s="36">
        <v>3866.09</v>
      </c>
    </row>
    <row r="54" spans="1:19" x14ac:dyDescent="0.2">
      <c r="A54" s="39">
        <v>34</v>
      </c>
      <c r="B54" s="6" t="s">
        <v>41</v>
      </c>
      <c r="C54" s="43">
        <v>0</v>
      </c>
      <c r="D54" s="43">
        <v>0</v>
      </c>
      <c r="E54" s="43">
        <v>89</v>
      </c>
      <c r="F54" s="23">
        <f t="shared" si="2"/>
        <v>89</v>
      </c>
      <c r="G54" s="44"/>
      <c r="H54" s="21">
        <v>0</v>
      </c>
      <c r="I54" s="21">
        <v>0</v>
      </c>
      <c r="J54" s="21">
        <v>66.89</v>
      </c>
      <c r="K54" s="21">
        <v>66.89</v>
      </c>
      <c r="L54" s="21"/>
      <c r="M54" s="21">
        <v>0</v>
      </c>
      <c r="N54" s="21">
        <v>196.83798999999999</v>
      </c>
      <c r="O54" s="21">
        <v>196.83798999999999</v>
      </c>
      <c r="P54" s="21"/>
      <c r="Q54" s="36">
        <v>0</v>
      </c>
      <c r="R54" s="36">
        <v>2949.63</v>
      </c>
      <c r="S54" s="36">
        <v>2949.63</v>
      </c>
    </row>
    <row r="55" spans="1:19" x14ac:dyDescent="0.2">
      <c r="A55" s="39">
        <v>35</v>
      </c>
      <c r="B55" s="6" t="s">
        <v>42</v>
      </c>
      <c r="C55" s="43">
        <v>14</v>
      </c>
      <c r="D55" s="43">
        <v>0</v>
      </c>
      <c r="E55" s="43">
        <v>265</v>
      </c>
      <c r="F55" s="23">
        <f t="shared" si="2"/>
        <v>279</v>
      </c>
      <c r="G55" s="44"/>
      <c r="H55" s="21">
        <v>63.15</v>
      </c>
      <c r="I55" s="21">
        <v>0</v>
      </c>
      <c r="J55" s="21">
        <v>72.78</v>
      </c>
      <c r="K55" s="21">
        <v>72.27</v>
      </c>
      <c r="L55" s="21"/>
      <c r="M55" s="21">
        <v>289.00877000000003</v>
      </c>
      <c r="N55" s="21">
        <v>252.50223</v>
      </c>
      <c r="O55" s="21">
        <v>254.44725</v>
      </c>
      <c r="P55" s="21"/>
      <c r="Q55" s="36">
        <v>6389.64</v>
      </c>
      <c r="R55" s="36">
        <v>3603.86</v>
      </c>
      <c r="S55" s="36">
        <v>3752.28</v>
      </c>
    </row>
    <row r="56" spans="1:19" x14ac:dyDescent="0.2">
      <c r="A56" s="39">
        <v>36</v>
      </c>
      <c r="B56" s="6" t="s">
        <v>43</v>
      </c>
      <c r="C56" s="43">
        <v>7</v>
      </c>
      <c r="D56" s="43">
        <v>0</v>
      </c>
      <c r="E56" s="43">
        <v>86</v>
      </c>
      <c r="F56" s="23">
        <f t="shared" si="2"/>
        <v>93</v>
      </c>
      <c r="G56" s="44"/>
      <c r="H56" s="21">
        <v>94.43</v>
      </c>
      <c r="I56" s="21">
        <v>0</v>
      </c>
      <c r="J56" s="21">
        <v>87.67</v>
      </c>
      <c r="K56" s="21">
        <v>88.23</v>
      </c>
      <c r="L56" s="21"/>
      <c r="M56" s="21">
        <v>522.61428999999998</v>
      </c>
      <c r="N56" s="21">
        <v>332.40525000000002</v>
      </c>
      <c r="O56" s="21">
        <v>348.06952000000001</v>
      </c>
      <c r="P56" s="21"/>
      <c r="Q56" s="36">
        <v>5701.9</v>
      </c>
      <c r="R56" s="36">
        <v>3937.09</v>
      </c>
      <c r="S56" s="36">
        <v>4082.43</v>
      </c>
    </row>
    <row r="57" spans="1:19" x14ac:dyDescent="0.2">
      <c r="A57" s="39">
        <v>37</v>
      </c>
      <c r="B57" s="6" t="s">
        <v>44</v>
      </c>
      <c r="C57" s="43">
        <v>47</v>
      </c>
      <c r="D57" s="43">
        <v>5</v>
      </c>
      <c r="E57" s="43">
        <v>224</v>
      </c>
      <c r="F57" s="23">
        <f t="shared" si="2"/>
        <v>276</v>
      </c>
      <c r="G57" s="44"/>
      <c r="H57" s="21">
        <v>62.02</v>
      </c>
      <c r="I57" s="21">
        <v>73.2</v>
      </c>
      <c r="J57" s="21">
        <v>62.93</v>
      </c>
      <c r="K57" s="21">
        <v>62.98</v>
      </c>
      <c r="L57" s="21"/>
      <c r="M57" s="21">
        <v>160.08332999999999</v>
      </c>
      <c r="N57" s="21">
        <v>161.30008999999998</v>
      </c>
      <c r="O57" s="21">
        <v>161.08355</v>
      </c>
      <c r="P57" s="21"/>
      <c r="Q57" s="36">
        <v>2665.33</v>
      </c>
      <c r="R57" s="36">
        <v>2592.29</v>
      </c>
      <c r="S57" s="36">
        <v>2605.29</v>
      </c>
    </row>
    <row r="58" spans="1:19" x14ac:dyDescent="0.2">
      <c r="A58" s="39">
        <v>38</v>
      </c>
      <c r="B58" s="6" t="s">
        <v>45</v>
      </c>
      <c r="C58" s="43">
        <v>48</v>
      </c>
      <c r="D58" s="43">
        <v>0</v>
      </c>
      <c r="E58" s="43">
        <v>76</v>
      </c>
      <c r="F58" s="23">
        <f t="shared" si="2"/>
        <v>124</v>
      </c>
      <c r="G58" s="44"/>
      <c r="H58" s="21">
        <v>74.36</v>
      </c>
      <c r="I58" s="21">
        <v>0</v>
      </c>
      <c r="J58" s="21">
        <v>62.89</v>
      </c>
      <c r="K58" s="21">
        <v>67.3</v>
      </c>
      <c r="L58" s="21"/>
      <c r="M58" s="21">
        <v>226.7723</v>
      </c>
      <c r="N58" s="21">
        <v>162.27476999999999</v>
      </c>
      <c r="O58" s="21">
        <v>187.08151000000001</v>
      </c>
      <c r="P58" s="21"/>
      <c r="Q58" s="36">
        <v>2927.85</v>
      </c>
      <c r="R58" s="36">
        <v>2621.51</v>
      </c>
      <c r="S58" s="36">
        <v>2739.33</v>
      </c>
    </row>
    <row r="59" spans="1:19" x14ac:dyDescent="0.2">
      <c r="A59" s="39">
        <v>39</v>
      </c>
      <c r="B59" s="6" t="s">
        <v>46</v>
      </c>
      <c r="C59" s="43">
        <v>23</v>
      </c>
      <c r="D59" s="43">
        <v>3</v>
      </c>
      <c r="E59" s="43">
        <v>32</v>
      </c>
      <c r="F59" s="23">
        <f t="shared" si="2"/>
        <v>58</v>
      </c>
      <c r="G59" s="44"/>
      <c r="H59" s="21">
        <v>66.95</v>
      </c>
      <c r="I59" s="21">
        <v>55</v>
      </c>
      <c r="J59" s="21">
        <v>63.81</v>
      </c>
      <c r="K59" s="21">
        <v>64.53</v>
      </c>
      <c r="L59" s="21"/>
      <c r="M59" s="21">
        <v>220.17250000000001</v>
      </c>
      <c r="N59" s="21">
        <v>165.76110999999997</v>
      </c>
      <c r="O59" s="21">
        <v>188.43251999999998</v>
      </c>
      <c r="P59" s="21"/>
      <c r="Q59" s="36">
        <v>3354.19</v>
      </c>
      <c r="R59" s="36">
        <v>2493.61</v>
      </c>
      <c r="S59" s="36">
        <v>2852.18</v>
      </c>
    </row>
    <row r="60" spans="1:19" x14ac:dyDescent="0.2">
      <c r="A60" s="39">
        <v>40</v>
      </c>
      <c r="B60" s="6" t="s">
        <v>47</v>
      </c>
      <c r="C60" s="43">
        <v>6</v>
      </c>
      <c r="D60" s="43">
        <v>0</v>
      </c>
      <c r="E60" s="43">
        <v>33</v>
      </c>
      <c r="F60" s="23">
        <f t="shared" si="2"/>
        <v>39</v>
      </c>
      <c r="G60" s="44"/>
      <c r="H60" s="21">
        <v>59.33</v>
      </c>
      <c r="I60" s="21">
        <v>0</v>
      </c>
      <c r="J60" s="21">
        <v>62.85</v>
      </c>
      <c r="K60" s="21">
        <v>62.19</v>
      </c>
      <c r="L60" s="21"/>
      <c r="M60" s="21">
        <v>197.16667000000001</v>
      </c>
      <c r="N60" s="21">
        <v>189.52082999999999</v>
      </c>
      <c r="O60" s="21">
        <v>191.05</v>
      </c>
      <c r="P60" s="21"/>
      <c r="Q60" s="36">
        <v>3357.96</v>
      </c>
      <c r="R60" s="36">
        <v>3131.12</v>
      </c>
      <c r="S60" s="36">
        <v>3176.49</v>
      </c>
    </row>
    <row r="61" spans="1:19" x14ac:dyDescent="0.2">
      <c r="A61" s="39">
        <v>41</v>
      </c>
      <c r="B61" s="6" t="s">
        <v>48</v>
      </c>
      <c r="C61" s="43">
        <v>0</v>
      </c>
      <c r="D61" s="43">
        <v>1</v>
      </c>
      <c r="E61" s="43">
        <v>28</v>
      </c>
      <c r="F61" s="23">
        <f t="shared" si="2"/>
        <v>29</v>
      </c>
      <c r="G61" s="44"/>
      <c r="H61" s="21">
        <v>0</v>
      </c>
      <c r="I61" s="21">
        <v>0</v>
      </c>
      <c r="J61" s="21">
        <v>61.27</v>
      </c>
      <c r="K61" s="21">
        <v>61.27</v>
      </c>
      <c r="L61" s="21"/>
      <c r="M61" s="21">
        <v>0</v>
      </c>
      <c r="N61" s="21">
        <v>268.08004</v>
      </c>
      <c r="O61" s="21">
        <v>268.08004</v>
      </c>
      <c r="P61" s="21"/>
      <c r="Q61" s="36">
        <v>0</v>
      </c>
      <c r="R61" s="36">
        <v>4497.12</v>
      </c>
      <c r="S61" s="36">
        <v>4497.12</v>
      </c>
    </row>
    <row r="62" spans="1:19" x14ac:dyDescent="0.2">
      <c r="A62" s="39">
        <v>42</v>
      </c>
      <c r="B62" s="6" t="s">
        <v>49</v>
      </c>
      <c r="C62" s="43">
        <v>1</v>
      </c>
      <c r="D62" s="43">
        <v>1</v>
      </c>
      <c r="E62" s="43">
        <v>1</v>
      </c>
      <c r="F62" s="23">
        <f t="shared" si="2"/>
        <v>3</v>
      </c>
      <c r="G62" s="44"/>
      <c r="H62" s="21">
        <v>130</v>
      </c>
      <c r="I62" s="21">
        <v>88</v>
      </c>
      <c r="J62" s="21">
        <v>0</v>
      </c>
      <c r="K62" s="21">
        <v>109</v>
      </c>
      <c r="L62" s="21"/>
      <c r="M62" s="21">
        <v>0</v>
      </c>
      <c r="N62" s="21">
        <v>0</v>
      </c>
      <c r="O62" s="21">
        <v>410</v>
      </c>
      <c r="P62" s="21"/>
      <c r="Q62" s="36">
        <v>0</v>
      </c>
      <c r="R62" s="36">
        <v>0</v>
      </c>
      <c r="S62" s="36">
        <v>3153.85</v>
      </c>
    </row>
    <row r="63" spans="1:19" x14ac:dyDescent="0.2">
      <c r="A63" s="39">
        <v>43</v>
      </c>
      <c r="B63" s="6" t="s">
        <v>50</v>
      </c>
      <c r="C63" s="43">
        <v>28</v>
      </c>
      <c r="D63" s="43">
        <v>2</v>
      </c>
      <c r="E63" s="43">
        <v>166</v>
      </c>
      <c r="F63" s="23">
        <f t="shared" si="2"/>
        <v>196</v>
      </c>
      <c r="G63" s="44"/>
      <c r="H63" s="21">
        <v>75.959999999999994</v>
      </c>
      <c r="I63" s="21">
        <v>60.5</v>
      </c>
      <c r="J63" s="21">
        <v>76.95</v>
      </c>
      <c r="K63" s="21">
        <v>76.63</v>
      </c>
      <c r="L63" s="21"/>
      <c r="M63" s="21">
        <v>288.40915000000001</v>
      </c>
      <c r="N63" s="21">
        <v>237.66878</v>
      </c>
      <c r="O63" s="21">
        <v>246.86088000000001</v>
      </c>
      <c r="P63" s="21"/>
      <c r="Q63" s="36">
        <v>3617.43</v>
      </c>
      <c r="R63" s="36">
        <v>3195.28</v>
      </c>
      <c r="S63" s="36">
        <v>3271.76</v>
      </c>
    </row>
    <row r="64" spans="1:19" x14ac:dyDescent="0.2">
      <c r="A64" s="39">
        <v>44</v>
      </c>
      <c r="B64" s="6" t="s">
        <v>51</v>
      </c>
      <c r="C64" s="43">
        <v>1</v>
      </c>
      <c r="D64" s="43">
        <v>0</v>
      </c>
      <c r="E64" s="43">
        <v>172</v>
      </c>
      <c r="F64" s="23">
        <f t="shared" si="2"/>
        <v>173</v>
      </c>
      <c r="G64" s="44"/>
      <c r="H64" s="21">
        <v>122</v>
      </c>
      <c r="I64" s="21">
        <v>0</v>
      </c>
      <c r="J64" s="21">
        <v>73.42</v>
      </c>
      <c r="K64" s="21">
        <v>73.73</v>
      </c>
      <c r="L64" s="21"/>
      <c r="M64" s="21">
        <v>0</v>
      </c>
      <c r="N64" s="21">
        <v>246.52091000000001</v>
      </c>
      <c r="O64" s="21">
        <v>246.07934</v>
      </c>
      <c r="P64" s="21"/>
      <c r="Q64" s="36">
        <v>0</v>
      </c>
      <c r="R64" s="36">
        <v>3311.97</v>
      </c>
      <c r="S64" s="36">
        <v>3298.26</v>
      </c>
    </row>
    <row r="65" spans="1:19" x14ac:dyDescent="0.2">
      <c r="A65" s="39">
        <v>45</v>
      </c>
      <c r="B65" s="6" t="s">
        <v>52</v>
      </c>
      <c r="C65" s="43">
        <v>7</v>
      </c>
      <c r="D65" s="43">
        <v>1</v>
      </c>
      <c r="E65" s="43">
        <v>142</v>
      </c>
      <c r="F65" s="23">
        <f t="shared" si="2"/>
        <v>150</v>
      </c>
      <c r="G65" s="44"/>
      <c r="H65" s="21">
        <v>60.33</v>
      </c>
      <c r="I65" s="21">
        <v>74</v>
      </c>
      <c r="J65" s="21">
        <v>64.650000000000006</v>
      </c>
      <c r="K65" s="21">
        <v>64.62</v>
      </c>
      <c r="L65" s="21"/>
      <c r="M65" s="21">
        <v>128.33332999999999</v>
      </c>
      <c r="N65" s="21">
        <v>190.36788000000001</v>
      </c>
      <c r="O65" s="21">
        <v>186.23223999999999</v>
      </c>
      <c r="P65" s="21"/>
      <c r="Q65" s="36">
        <v>2155.96</v>
      </c>
      <c r="R65" s="36">
        <v>2764.59</v>
      </c>
      <c r="S65" s="36">
        <v>2724.01</v>
      </c>
    </row>
    <row r="66" spans="1:19" x14ac:dyDescent="0.2">
      <c r="A66" s="39">
        <v>46</v>
      </c>
      <c r="B66" s="6" t="s">
        <v>53</v>
      </c>
      <c r="C66" s="43">
        <v>3</v>
      </c>
      <c r="D66" s="43">
        <v>0</v>
      </c>
      <c r="E66" s="43">
        <v>170</v>
      </c>
      <c r="F66" s="23">
        <f t="shared" si="2"/>
        <v>173</v>
      </c>
      <c r="G66" s="44"/>
      <c r="H66" s="21">
        <v>47</v>
      </c>
      <c r="I66" s="21">
        <v>0</v>
      </c>
      <c r="J66" s="21">
        <v>63.17</v>
      </c>
      <c r="K66" s="21">
        <v>62.96</v>
      </c>
      <c r="L66" s="21"/>
      <c r="M66" s="21">
        <v>222.2</v>
      </c>
      <c r="N66" s="21">
        <v>169.59232</v>
      </c>
      <c r="O66" s="21">
        <v>171.50532999999999</v>
      </c>
      <c r="P66" s="21"/>
      <c r="Q66" s="36">
        <v>4727.66</v>
      </c>
      <c r="R66" s="36">
        <v>2572.87</v>
      </c>
      <c r="S66" s="36">
        <v>2651.23</v>
      </c>
    </row>
    <row r="67" spans="1:19" x14ac:dyDescent="0.2">
      <c r="A67" s="39">
        <v>47</v>
      </c>
      <c r="B67" s="6" t="s">
        <v>54</v>
      </c>
      <c r="C67" s="43">
        <v>1</v>
      </c>
      <c r="D67" s="43">
        <v>0</v>
      </c>
      <c r="E67" s="43">
        <v>6</v>
      </c>
      <c r="F67" s="23">
        <f t="shared" si="2"/>
        <v>7</v>
      </c>
      <c r="G67" s="44"/>
      <c r="H67" s="21">
        <v>57</v>
      </c>
      <c r="I67" s="21">
        <v>0</v>
      </c>
      <c r="J67" s="21">
        <v>74.83</v>
      </c>
      <c r="K67" s="21">
        <v>72.28</v>
      </c>
      <c r="L67" s="21"/>
      <c r="M67" s="21">
        <v>0</v>
      </c>
      <c r="N67" s="21">
        <v>215</v>
      </c>
      <c r="O67" s="21">
        <v>317.5</v>
      </c>
      <c r="P67" s="21"/>
      <c r="Q67" s="36">
        <v>0</v>
      </c>
      <c r="R67" s="36">
        <v>2905.41</v>
      </c>
      <c r="S67" s="36">
        <v>5136.91</v>
      </c>
    </row>
    <row r="68" spans="1:19" x14ac:dyDescent="0.2">
      <c r="A68" s="39">
        <v>48</v>
      </c>
      <c r="B68" s="6" t="s">
        <v>55</v>
      </c>
      <c r="C68" s="43">
        <v>0</v>
      </c>
      <c r="D68" s="43">
        <v>0</v>
      </c>
      <c r="E68" s="43">
        <v>90</v>
      </c>
      <c r="F68" s="23">
        <f t="shared" si="2"/>
        <v>90</v>
      </c>
      <c r="G68" s="44"/>
      <c r="H68" s="21">
        <v>0</v>
      </c>
      <c r="I68" s="21">
        <v>0</v>
      </c>
      <c r="J68" s="21">
        <v>74.86</v>
      </c>
      <c r="K68" s="21">
        <v>74.86</v>
      </c>
      <c r="L68" s="21"/>
      <c r="M68" s="21">
        <v>0</v>
      </c>
      <c r="N68" s="21">
        <v>205.72581</v>
      </c>
      <c r="O68" s="21">
        <v>205.72581</v>
      </c>
      <c r="P68" s="21"/>
      <c r="Q68" s="36">
        <v>0</v>
      </c>
      <c r="R68" s="36">
        <v>2617.5100000000002</v>
      </c>
      <c r="S68" s="36">
        <v>2617.5100000000002</v>
      </c>
    </row>
    <row r="69" spans="1:19" x14ac:dyDescent="0.2">
      <c r="A69" s="39">
        <v>49</v>
      </c>
      <c r="B69" s="6" t="s">
        <v>56</v>
      </c>
      <c r="C69" s="43">
        <v>0</v>
      </c>
      <c r="D69" s="43">
        <v>0</v>
      </c>
      <c r="E69" s="43">
        <v>47</v>
      </c>
      <c r="F69" s="23">
        <f t="shared" si="2"/>
        <v>47</v>
      </c>
      <c r="G69" s="44"/>
      <c r="H69" s="21">
        <v>0</v>
      </c>
      <c r="I69" s="21">
        <v>0</v>
      </c>
      <c r="J69" s="21">
        <v>70.86</v>
      </c>
      <c r="K69" s="21">
        <v>70.86</v>
      </c>
      <c r="L69" s="21"/>
      <c r="M69" s="21">
        <v>0</v>
      </c>
      <c r="N69" s="21">
        <v>205.18154000000001</v>
      </c>
      <c r="O69" s="21">
        <v>205.18154000000001</v>
      </c>
      <c r="P69" s="21"/>
      <c r="Q69" s="36">
        <v>0</v>
      </c>
      <c r="R69" s="36">
        <v>2753.16</v>
      </c>
      <c r="S69" s="36">
        <v>2753.16</v>
      </c>
    </row>
    <row r="70" spans="1:19" x14ac:dyDescent="0.2">
      <c r="A70" s="39">
        <v>50</v>
      </c>
      <c r="B70" s="6" t="s">
        <v>57</v>
      </c>
      <c r="C70" s="43">
        <v>0</v>
      </c>
      <c r="D70" s="43">
        <v>0</v>
      </c>
      <c r="E70" s="43">
        <v>196</v>
      </c>
      <c r="F70" s="23">
        <f t="shared" si="2"/>
        <v>196</v>
      </c>
      <c r="G70" s="44"/>
      <c r="H70" s="21">
        <v>0</v>
      </c>
      <c r="I70" s="21">
        <v>0</v>
      </c>
      <c r="J70" s="21">
        <v>55.54</v>
      </c>
      <c r="K70" s="21">
        <v>55.54</v>
      </c>
      <c r="L70" s="21"/>
      <c r="M70" s="21">
        <v>0</v>
      </c>
      <c r="N70" s="21">
        <v>125.91714</v>
      </c>
      <c r="O70" s="21">
        <v>125.91714</v>
      </c>
      <c r="P70" s="21"/>
      <c r="Q70" s="36">
        <v>0</v>
      </c>
      <c r="R70" s="36">
        <v>2260.44</v>
      </c>
      <c r="S70" s="36">
        <v>2260.44</v>
      </c>
    </row>
    <row r="71" spans="1:19" x14ac:dyDescent="0.2">
      <c r="A71" s="39">
        <v>51</v>
      </c>
      <c r="B71" s="6" t="s">
        <v>58</v>
      </c>
      <c r="C71" s="43">
        <v>3</v>
      </c>
      <c r="D71" s="43">
        <v>0</v>
      </c>
      <c r="E71" s="43">
        <v>170</v>
      </c>
      <c r="F71" s="23">
        <f t="shared" si="2"/>
        <v>173</v>
      </c>
      <c r="G71" s="44"/>
      <c r="H71" s="21">
        <v>75.67</v>
      </c>
      <c r="I71" s="21">
        <v>0</v>
      </c>
      <c r="J71" s="21">
        <v>57.64</v>
      </c>
      <c r="K71" s="21">
        <v>58.01</v>
      </c>
      <c r="L71" s="21"/>
      <c r="M71" s="21">
        <v>204.4</v>
      </c>
      <c r="N71" s="21">
        <v>145.60834</v>
      </c>
      <c r="O71" s="21">
        <v>149.80774</v>
      </c>
      <c r="P71" s="21"/>
      <c r="Q71" s="36">
        <v>2763.64</v>
      </c>
      <c r="R71" s="36">
        <v>2364.31</v>
      </c>
      <c r="S71" s="36">
        <v>2392.83</v>
      </c>
    </row>
    <row r="72" spans="1:19" x14ac:dyDescent="0.2">
      <c r="A72" s="39">
        <v>52</v>
      </c>
      <c r="B72" s="6" t="s">
        <v>59</v>
      </c>
      <c r="C72" s="43">
        <v>7</v>
      </c>
      <c r="D72" s="43">
        <v>0</v>
      </c>
      <c r="E72" s="43">
        <v>213</v>
      </c>
      <c r="F72" s="23">
        <f t="shared" si="2"/>
        <v>220</v>
      </c>
      <c r="G72" s="44"/>
      <c r="H72" s="21">
        <v>115</v>
      </c>
      <c r="I72" s="21">
        <v>0</v>
      </c>
      <c r="J72" s="21">
        <v>59.78</v>
      </c>
      <c r="K72" s="21">
        <v>61.51</v>
      </c>
      <c r="L72" s="21"/>
      <c r="M72" s="21">
        <v>214.25017000000003</v>
      </c>
      <c r="N72" s="21">
        <v>157.57773999999998</v>
      </c>
      <c r="O72" s="21">
        <v>162.65288000000001</v>
      </c>
      <c r="P72" s="21"/>
      <c r="Q72" s="36">
        <v>1808.48</v>
      </c>
      <c r="R72" s="36">
        <v>2721.68</v>
      </c>
      <c r="S72" s="36">
        <v>2639.9</v>
      </c>
    </row>
    <row r="73" spans="1:19" x14ac:dyDescent="0.2">
      <c r="A73" s="39">
        <v>53</v>
      </c>
      <c r="B73" s="6" t="s">
        <v>60</v>
      </c>
      <c r="C73" s="43">
        <v>0</v>
      </c>
      <c r="D73" s="43">
        <v>0</v>
      </c>
      <c r="E73" s="43">
        <v>98</v>
      </c>
      <c r="F73" s="23">
        <f t="shared" si="2"/>
        <v>98</v>
      </c>
      <c r="G73" s="44"/>
      <c r="H73" s="21">
        <v>0</v>
      </c>
      <c r="I73" s="21">
        <v>0</v>
      </c>
      <c r="J73" s="21">
        <v>59.48</v>
      </c>
      <c r="K73" s="21">
        <v>59.48</v>
      </c>
      <c r="L73" s="21"/>
      <c r="M73" s="21">
        <v>0</v>
      </c>
      <c r="N73" s="21">
        <v>112.77587</v>
      </c>
      <c r="O73" s="21">
        <v>112.77587</v>
      </c>
      <c r="P73" s="21"/>
      <c r="Q73" s="36">
        <v>0</v>
      </c>
      <c r="R73" s="36">
        <v>1975.32</v>
      </c>
      <c r="S73" s="36">
        <v>1975.32</v>
      </c>
    </row>
    <row r="74" spans="1:19" x14ac:dyDescent="0.2">
      <c r="A74" s="39">
        <v>54</v>
      </c>
      <c r="B74" s="6" t="s">
        <v>61</v>
      </c>
      <c r="C74" s="43">
        <v>0</v>
      </c>
      <c r="D74" s="43">
        <v>0</v>
      </c>
      <c r="E74" s="43">
        <v>12</v>
      </c>
      <c r="F74" s="23">
        <f t="shared" si="2"/>
        <v>12</v>
      </c>
      <c r="G74" s="44"/>
      <c r="H74" s="21">
        <v>0</v>
      </c>
      <c r="I74" s="21">
        <v>0</v>
      </c>
      <c r="J74" s="21">
        <v>85.33</v>
      </c>
      <c r="K74" s="21">
        <v>85.33</v>
      </c>
      <c r="L74" s="21"/>
      <c r="M74" s="21">
        <v>0</v>
      </c>
      <c r="N74" s="21">
        <v>164.49764999999999</v>
      </c>
      <c r="O74" s="21">
        <v>164.49764999999999</v>
      </c>
      <c r="P74" s="21"/>
      <c r="Q74" s="36">
        <v>0</v>
      </c>
      <c r="R74" s="36">
        <v>1643.91</v>
      </c>
      <c r="S74" s="36">
        <v>1643.91</v>
      </c>
    </row>
    <row r="75" spans="1:19" x14ac:dyDescent="0.2">
      <c r="A75" s="39">
        <v>55</v>
      </c>
      <c r="B75" s="6" t="s">
        <v>62</v>
      </c>
      <c r="C75" s="43">
        <v>0</v>
      </c>
      <c r="D75" s="43">
        <v>0</v>
      </c>
      <c r="E75" s="43">
        <v>137</v>
      </c>
      <c r="F75" s="23">
        <f t="shared" si="2"/>
        <v>137</v>
      </c>
      <c r="G75" s="44"/>
      <c r="H75" s="21">
        <v>0</v>
      </c>
      <c r="I75" s="21">
        <v>0</v>
      </c>
      <c r="J75" s="21">
        <v>59.52</v>
      </c>
      <c r="K75" s="21">
        <v>59.52</v>
      </c>
      <c r="L75" s="21"/>
      <c r="M75" s="21">
        <v>0</v>
      </c>
      <c r="N75" s="21">
        <v>102.20496</v>
      </c>
      <c r="O75" s="21">
        <v>102.20496</v>
      </c>
      <c r="P75" s="21"/>
      <c r="Q75" s="36">
        <v>0</v>
      </c>
      <c r="R75" s="36">
        <v>1732.16</v>
      </c>
      <c r="S75" s="36">
        <v>1732.16</v>
      </c>
    </row>
    <row r="76" spans="1:19" x14ac:dyDescent="0.2">
      <c r="A76" s="39">
        <v>56</v>
      </c>
      <c r="B76" s="6" t="s">
        <v>80</v>
      </c>
      <c r="C76" s="43">
        <v>0</v>
      </c>
      <c r="D76" s="43">
        <v>0</v>
      </c>
      <c r="E76" s="43">
        <v>9</v>
      </c>
      <c r="F76" s="23">
        <f t="shared" si="2"/>
        <v>9</v>
      </c>
      <c r="G76" s="44"/>
      <c r="H76" s="21">
        <v>0</v>
      </c>
      <c r="I76" s="21">
        <v>0</v>
      </c>
      <c r="J76" s="21">
        <v>119</v>
      </c>
      <c r="K76" s="21">
        <v>119</v>
      </c>
      <c r="L76" s="21"/>
      <c r="M76" s="21">
        <v>0</v>
      </c>
      <c r="N76" s="21">
        <v>149</v>
      </c>
      <c r="O76" s="21">
        <v>149</v>
      </c>
      <c r="P76" s="21"/>
      <c r="Q76" s="36">
        <v>0</v>
      </c>
      <c r="R76" s="36">
        <v>1464.93</v>
      </c>
      <c r="S76" s="36">
        <v>1464.93</v>
      </c>
    </row>
    <row r="77" spans="1:19" x14ac:dyDescent="0.2">
      <c r="A77" s="39">
        <v>57</v>
      </c>
      <c r="B77" s="6" t="s">
        <v>63</v>
      </c>
      <c r="C77" s="43">
        <v>18</v>
      </c>
      <c r="D77" s="43">
        <v>0</v>
      </c>
      <c r="E77" s="43">
        <v>121</v>
      </c>
      <c r="F77" s="23">
        <f t="shared" si="2"/>
        <v>139</v>
      </c>
      <c r="G77" s="44"/>
      <c r="H77" s="21">
        <v>60.56</v>
      </c>
      <c r="I77" s="21">
        <v>0</v>
      </c>
      <c r="J77" s="21">
        <v>61.77</v>
      </c>
      <c r="K77" s="21">
        <v>61.6</v>
      </c>
      <c r="L77" s="21"/>
      <c r="M77" s="21">
        <v>220.02078</v>
      </c>
      <c r="N77" s="21">
        <v>138.11689999999999</v>
      </c>
      <c r="O77" s="21">
        <v>181.47778</v>
      </c>
      <c r="P77" s="21"/>
      <c r="Q77" s="36">
        <v>3696.4</v>
      </c>
      <c r="R77" s="36">
        <v>2047.45</v>
      </c>
      <c r="S77" s="36">
        <v>2920.42</v>
      </c>
    </row>
    <row r="78" spans="1:19" x14ac:dyDescent="0.2">
      <c r="A78" s="39">
        <v>58</v>
      </c>
      <c r="B78" s="6" t="s">
        <v>64</v>
      </c>
      <c r="C78" s="43">
        <v>0</v>
      </c>
      <c r="D78" s="43">
        <v>0</v>
      </c>
      <c r="E78" s="43">
        <v>25</v>
      </c>
      <c r="F78" s="23">
        <f t="shared" si="2"/>
        <v>25</v>
      </c>
      <c r="G78" s="44"/>
      <c r="H78" s="21">
        <v>0</v>
      </c>
      <c r="I78" s="21">
        <v>0</v>
      </c>
      <c r="J78" s="21">
        <v>70</v>
      </c>
      <c r="K78" s="21">
        <v>70</v>
      </c>
      <c r="L78" s="21"/>
      <c r="M78" s="21">
        <v>0</v>
      </c>
      <c r="N78" s="21">
        <v>0</v>
      </c>
      <c r="O78" s="21">
        <v>0</v>
      </c>
      <c r="P78" s="21"/>
      <c r="Q78" s="36">
        <v>0</v>
      </c>
      <c r="R78" s="36">
        <v>0</v>
      </c>
      <c r="S78" s="36">
        <v>0</v>
      </c>
    </row>
    <row r="79" spans="1:19" x14ac:dyDescent="0.2">
      <c r="A79" s="39">
        <v>59</v>
      </c>
      <c r="B79" s="6" t="s">
        <v>65</v>
      </c>
      <c r="C79" s="43">
        <v>0</v>
      </c>
      <c r="D79" s="43">
        <v>5</v>
      </c>
      <c r="E79" s="43">
        <v>102</v>
      </c>
      <c r="F79" s="23">
        <f t="shared" si="2"/>
        <v>107</v>
      </c>
      <c r="G79" s="44"/>
      <c r="H79" s="21">
        <v>0</v>
      </c>
      <c r="I79" s="21">
        <v>73.2</v>
      </c>
      <c r="J79" s="21">
        <v>68.92</v>
      </c>
      <c r="K79" s="21">
        <v>69.14</v>
      </c>
      <c r="L79" s="21"/>
      <c r="M79" s="21">
        <v>0</v>
      </c>
      <c r="N79" s="21">
        <v>158.94684000000001</v>
      </c>
      <c r="O79" s="21">
        <v>158.94684000000001</v>
      </c>
      <c r="P79" s="21"/>
      <c r="Q79" s="36">
        <v>0</v>
      </c>
      <c r="R79" s="36">
        <v>2297.1</v>
      </c>
      <c r="S79" s="36">
        <v>2297.1</v>
      </c>
    </row>
    <row r="80" spans="1:19" x14ac:dyDescent="0.2">
      <c r="A80" s="39">
        <v>60</v>
      </c>
      <c r="B80" s="6" t="s">
        <v>66</v>
      </c>
      <c r="C80" s="43">
        <v>20</v>
      </c>
      <c r="D80" s="43">
        <v>1</v>
      </c>
      <c r="E80" s="43">
        <v>420</v>
      </c>
      <c r="F80" s="23">
        <f t="shared" si="2"/>
        <v>441</v>
      </c>
      <c r="G80" s="44"/>
      <c r="H80" s="21">
        <v>106.55</v>
      </c>
      <c r="I80" s="21">
        <v>114</v>
      </c>
      <c r="J80" s="21">
        <v>73.72</v>
      </c>
      <c r="K80" s="21">
        <v>75.510000000000005</v>
      </c>
      <c r="L80" s="21"/>
      <c r="M80" s="21">
        <v>428.62590999999998</v>
      </c>
      <c r="N80" s="21">
        <v>305.12828000000002</v>
      </c>
      <c r="O80" s="21">
        <v>323.69934999999998</v>
      </c>
      <c r="P80" s="21"/>
      <c r="Q80" s="36">
        <v>4138.63</v>
      </c>
      <c r="R80" s="36">
        <v>3761.18</v>
      </c>
      <c r="S80" s="36">
        <v>3817.94</v>
      </c>
    </row>
    <row r="81" spans="1:19" x14ac:dyDescent="0.2">
      <c r="A81" s="39">
        <v>61</v>
      </c>
      <c r="B81" s="6" t="s">
        <v>67</v>
      </c>
      <c r="C81" s="43">
        <v>2</v>
      </c>
      <c r="D81" s="43">
        <v>0</v>
      </c>
      <c r="E81" s="43">
        <v>219</v>
      </c>
      <c r="F81" s="23">
        <f t="shared" si="2"/>
        <v>221</v>
      </c>
      <c r="G81" s="44"/>
      <c r="H81" s="21">
        <v>96</v>
      </c>
      <c r="I81" s="21">
        <v>0</v>
      </c>
      <c r="J81" s="21">
        <v>70.95</v>
      </c>
      <c r="K81" s="21">
        <v>71.2</v>
      </c>
      <c r="L81" s="21"/>
      <c r="M81" s="21">
        <v>0</v>
      </c>
      <c r="N81" s="21">
        <v>265.0926</v>
      </c>
      <c r="O81" s="21">
        <v>265.77105999999998</v>
      </c>
      <c r="P81" s="21"/>
      <c r="Q81" s="36">
        <v>0</v>
      </c>
      <c r="R81" s="36">
        <v>3770.82</v>
      </c>
      <c r="S81" s="36">
        <v>3759.87</v>
      </c>
    </row>
    <row r="82" spans="1:19" x14ac:dyDescent="0.2">
      <c r="A82" s="39">
        <v>62</v>
      </c>
      <c r="B82" s="29" t="s">
        <v>68</v>
      </c>
      <c r="C82" s="45">
        <v>6</v>
      </c>
      <c r="D82" s="45">
        <v>0</v>
      </c>
      <c r="E82" s="45">
        <v>88</v>
      </c>
      <c r="F82" s="23">
        <f t="shared" si="2"/>
        <v>94</v>
      </c>
      <c r="G82" s="46"/>
      <c r="H82" s="47">
        <v>73.400000000000006</v>
      </c>
      <c r="I82" s="47">
        <v>0</v>
      </c>
      <c r="J82" s="47">
        <v>70.42</v>
      </c>
      <c r="K82" s="47">
        <v>70.59</v>
      </c>
      <c r="L82" s="47"/>
      <c r="M82" s="21">
        <v>339.80020000000002</v>
      </c>
      <c r="N82" s="21">
        <v>226.83351999999999</v>
      </c>
      <c r="O82" s="21">
        <v>245.66129999999998</v>
      </c>
      <c r="P82" s="47"/>
      <c r="Q82" s="48">
        <v>4236.08</v>
      </c>
      <c r="R82" s="48">
        <v>3395.17</v>
      </c>
      <c r="S82" s="48">
        <v>3535.32</v>
      </c>
    </row>
    <row r="83" spans="1:19" x14ac:dyDescent="0.2">
      <c r="A83" s="39">
        <v>63</v>
      </c>
      <c r="B83" s="1" t="s">
        <v>69</v>
      </c>
      <c r="C83" s="43">
        <v>4</v>
      </c>
      <c r="D83" s="43">
        <v>0</v>
      </c>
      <c r="E83" s="43">
        <v>156</v>
      </c>
      <c r="F83" s="23">
        <f t="shared" si="2"/>
        <v>160</v>
      </c>
      <c r="G83" s="44"/>
      <c r="H83" s="21">
        <v>80</v>
      </c>
      <c r="I83" s="21">
        <v>0</v>
      </c>
      <c r="J83" s="21">
        <v>75.19</v>
      </c>
      <c r="K83" s="21">
        <v>75.22</v>
      </c>
      <c r="L83" s="21"/>
      <c r="M83" s="21">
        <v>428</v>
      </c>
      <c r="N83" s="21">
        <v>268.69040999999999</v>
      </c>
      <c r="O83" s="21">
        <v>270.48040999999995</v>
      </c>
      <c r="P83" s="21"/>
      <c r="Q83" s="36">
        <v>5350</v>
      </c>
      <c r="R83" s="36">
        <v>3406.8</v>
      </c>
      <c r="S83" s="36">
        <v>3428.63</v>
      </c>
    </row>
    <row r="84" spans="1:19" x14ac:dyDescent="0.2">
      <c r="A84" s="39">
        <v>64</v>
      </c>
      <c r="B84" s="1" t="s">
        <v>70</v>
      </c>
      <c r="C84" s="43">
        <v>4</v>
      </c>
      <c r="D84" s="43">
        <v>0</v>
      </c>
      <c r="E84" s="43">
        <v>358</v>
      </c>
      <c r="F84" s="23">
        <f t="shared" si="2"/>
        <v>362</v>
      </c>
      <c r="G84" s="44"/>
      <c r="H84" s="21">
        <v>57.33</v>
      </c>
      <c r="I84" s="21">
        <v>0</v>
      </c>
      <c r="J84" s="21">
        <v>71.53</v>
      </c>
      <c r="K84" s="21">
        <v>71.400000000000006</v>
      </c>
      <c r="L84" s="21"/>
      <c r="M84" s="21">
        <v>205.33332999999999</v>
      </c>
      <c r="N84" s="21">
        <v>281.65098</v>
      </c>
      <c r="O84" s="21">
        <v>280.92872999999997</v>
      </c>
      <c r="P84" s="21"/>
      <c r="Q84" s="36">
        <v>4025.21</v>
      </c>
      <c r="R84" s="36">
        <v>4047.06</v>
      </c>
      <c r="S84" s="36">
        <v>4046.85</v>
      </c>
    </row>
    <row r="85" spans="1:19" x14ac:dyDescent="0.2">
      <c r="A85" s="39">
        <v>65</v>
      </c>
      <c r="B85" s="1" t="s">
        <v>71</v>
      </c>
      <c r="C85" s="43">
        <v>21</v>
      </c>
      <c r="D85" s="43">
        <v>0</v>
      </c>
      <c r="E85" s="43">
        <v>151</v>
      </c>
      <c r="F85" s="23">
        <f t="shared" ref="F85:F93" si="3">SUM(C85:E85)</f>
        <v>172</v>
      </c>
      <c r="G85" s="44"/>
      <c r="H85" s="21">
        <v>68.349999999999994</v>
      </c>
      <c r="I85" s="21">
        <v>0</v>
      </c>
      <c r="J85" s="21">
        <v>72.489999999999995</v>
      </c>
      <c r="K85" s="21">
        <v>71.95</v>
      </c>
      <c r="L85" s="21"/>
      <c r="M85" s="21">
        <v>345.11250000000001</v>
      </c>
      <c r="N85" s="21">
        <v>226.20215999999999</v>
      </c>
      <c r="O85" s="21">
        <v>257.91158000000001</v>
      </c>
      <c r="P85" s="21"/>
      <c r="Q85" s="36">
        <v>5082.97</v>
      </c>
      <c r="R85" s="36">
        <v>3204.38</v>
      </c>
      <c r="S85" s="36">
        <v>3705.34</v>
      </c>
    </row>
    <row r="86" spans="1:19" x14ac:dyDescent="0.2">
      <c r="A86" s="39">
        <v>66</v>
      </c>
      <c r="B86" s="1" t="s">
        <v>72</v>
      </c>
      <c r="C86" s="43">
        <v>49</v>
      </c>
      <c r="D86" s="43">
        <v>3</v>
      </c>
      <c r="E86" s="43">
        <v>109</v>
      </c>
      <c r="F86" s="23">
        <f t="shared" si="3"/>
        <v>161</v>
      </c>
      <c r="G86" s="44"/>
      <c r="H86" s="21">
        <v>89.56</v>
      </c>
      <c r="I86" s="21">
        <v>60.67</v>
      </c>
      <c r="J86" s="21">
        <v>77.62</v>
      </c>
      <c r="K86" s="21">
        <v>81.06</v>
      </c>
      <c r="L86" s="21"/>
      <c r="M86" s="21">
        <v>568.53753000000006</v>
      </c>
      <c r="N86" s="21">
        <v>346.85884000000004</v>
      </c>
      <c r="O86" s="21">
        <v>422.86296000000004</v>
      </c>
      <c r="P86" s="21"/>
      <c r="Q86" s="36">
        <v>6356.43</v>
      </c>
      <c r="R86" s="36">
        <v>4605.78</v>
      </c>
      <c r="S86" s="36">
        <v>5206</v>
      </c>
    </row>
    <row r="87" spans="1:19" x14ac:dyDescent="0.2">
      <c r="A87" s="39">
        <v>67</v>
      </c>
      <c r="B87" s="1" t="s">
        <v>73</v>
      </c>
      <c r="C87" s="43">
        <v>2</v>
      </c>
      <c r="D87" s="43">
        <v>0</v>
      </c>
      <c r="E87" s="43">
        <v>69</v>
      </c>
      <c r="F87" s="23">
        <f t="shared" si="3"/>
        <v>71</v>
      </c>
      <c r="G87" s="44"/>
      <c r="H87" s="21">
        <v>110</v>
      </c>
      <c r="I87" s="21">
        <v>0</v>
      </c>
      <c r="J87" s="21">
        <v>83.88</v>
      </c>
      <c r="K87" s="21">
        <v>84.26</v>
      </c>
      <c r="L87" s="21"/>
      <c r="M87" s="21">
        <v>0</v>
      </c>
      <c r="N87" s="21">
        <v>469.07703999999995</v>
      </c>
      <c r="O87" s="21">
        <v>473.07592</v>
      </c>
      <c r="P87" s="21"/>
      <c r="Q87" s="36">
        <v>0</v>
      </c>
      <c r="R87" s="36">
        <v>5702.9</v>
      </c>
      <c r="S87" s="36">
        <v>5718.4</v>
      </c>
    </row>
    <row r="88" spans="1:19" x14ac:dyDescent="0.2">
      <c r="A88" s="39">
        <v>68</v>
      </c>
      <c r="B88" s="1" t="s">
        <v>74</v>
      </c>
      <c r="C88" s="43">
        <v>59</v>
      </c>
      <c r="D88" s="43">
        <v>7</v>
      </c>
      <c r="E88" s="43">
        <v>253</v>
      </c>
      <c r="F88" s="23">
        <f t="shared" si="3"/>
        <v>319</v>
      </c>
      <c r="G88" s="44"/>
      <c r="H88" s="21">
        <v>71.290000000000006</v>
      </c>
      <c r="I88" s="21">
        <v>58.5</v>
      </c>
      <c r="J88" s="21">
        <v>71.709999999999994</v>
      </c>
      <c r="K88" s="21">
        <v>71.37</v>
      </c>
      <c r="L88" s="21"/>
      <c r="M88" s="21">
        <v>453.48151000000001</v>
      </c>
      <c r="N88" s="21">
        <v>359.39906000000002</v>
      </c>
      <c r="O88" s="21">
        <v>378.02289000000002</v>
      </c>
      <c r="P88" s="21"/>
      <c r="Q88" s="36">
        <v>6463.89</v>
      </c>
      <c r="R88" s="36">
        <v>4957.93</v>
      </c>
      <c r="S88" s="36">
        <v>5256.04</v>
      </c>
    </row>
    <row r="89" spans="1:19" x14ac:dyDescent="0.2">
      <c r="A89" s="39">
        <v>69</v>
      </c>
      <c r="B89" s="1" t="s">
        <v>75</v>
      </c>
      <c r="C89" s="43">
        <v>13</v>
      </c>
      <c r="D89" s="43">
        <v>4</v>
      </c>
      <c r="E89" s="43">
        <v>107</v>
      </c>
      <c r="F89" s="23">
        <f t="shared" si="3"/>
        <v>124</v>
      </c>
      <c r="G89" s="44"/>
      <c r="H89" s="21">
        <v>68.540000000000006</v>
      </c>
      <c r="I89" s="21">
        <v>73.25</v>
      </c>
      <c r="J89" s="21">
        <v>97.33</v>
      </c>
      <c r="K89" s="21">
        <v>93.24</v>
      </c>
      <c r="L89" s="21"/>
      <c r="M89" s="21">
        <v>334.92308000000003</v>
      </c>
      <c r="N89" s="21">
        <v>589.90443000000005</v>
      </c>
      <c r="O89" s="21">
        <v>557.72231999999997</v>
      </c>
      <c r="P89" s="21"/>
      <c r="Q89" s="36">
        <v>4865.29</v>
      </c>
      <c r="R89" s="36">
        <v>5853.92</v>
      </c>
      <c r="S89" s="36">
        <v>5729.14</v>
      </c>
    </row>
    <row r="90" spans="1:19" x14ac:dyDescent="0.2">
      <c r="A90" s="39">
        <v>70</v>
      </c>
      <c r="B90" s="1" t="s">
        <v>76</v>
      </c>
      <c r="C90" s="43">
        <v>32</v>
      </c>
      <c r="D90" s="43">
        <v>2</v>
      </c>
      <c r="E90" s="43">
        <v>252</v>
      </c>
      <c r="F90" s="23">
        <f t="shared" si="3"/>
        <v>286</v>
      </c>
      <c r="G90" s="44"/>
      <c r="H90" s="21">
        <v>87.35</v>
      </c>
      <c r="I90" s="21">
        <v>69</v>
      </c>
      <c r="J90" s="21">
        <v>60.72</v>
      </c>
      <c r="K90" s="21">
        <v>64</v>
      </c>
      <c r="L90" s="21"/>
      <c r="M90" s="21">
        <v>473.93475000000001</v>
      </c>
      <c r="N90" s="21">
        <v>164.80481</v>
      </c>
      <c r="O90" s="21">
        <v>207.39605</v>
      </c>
      <c r="P90" s="21"/>
      <c r="Q90" s="36">
        <v>4461.1400000000003</v>
      </c>
      <c r="R90" s="36">
        <v>2424.08</v>
      </c>
      <c r="S90" s="36">
        <v>2704.74</v>
      </c>
    </row>
    <row r="91" spans="1:19" x14ac:dyDescent="0.2">
      <c r="A91" s="39">
        <v>71</v>
      </c>
      <c r="B91" s="1" t="s">
        <v>77</v>
      </c>
      <c r="C91" s="43">
        <v>29</v>
      </c>
      <c r="D91" s="43">
        <v>16</v>
      </c>
      <c r="E91" s="43">
        <v>127</v>
      </c>
      <c r="F91" s="23">
        <f t="shared" si="3"/>
        <v>172</v>
      </c>
      <c r="G91" s="44"/>
      <c r="H91" s="21">
        <v>73</v>
      </c>
      <c r="I91" s="21">
        <v>73.36</v>
      </c>
      <c r="J91" s="21">
        <v>81.75</v>
      </c>
      <c r="K91" s="21">
        <v>79.44</v>
      </c>
      <c r="L91" s="21"/>
      <c r="M91" s="21">
        <v>283.47118</v>
      </c>
      <c r="N91" s="21">
        <v>391.68341999999996</v>
      </c>
      <c r="O91" s="21">
        <v>366.43390000000005</v>
      </c>
      <c r="P91" s="21"/>
      <c r="Q91" s="36">
        <v>3682.26</v>
      </c>
      <c r="R91" s="36">
        <v>4526.8500000000004</v>
      </c>
      <c r="S91" s="36">
        <v>4329.78</v>
      </c>
    </row>
    <row r="92" spans="1:19" x14ac:dyDescent="0.2">
      <c r="A92" s="39">
        <v>72</v>
      </c>
      <c r="B92" s="1" t="s">
        <v>78</v>
      </c>
      <c r="C92" s="43">
        <v>0</v>
      </c>
      <c r="D92" s="43">
        <v>0</v>
      </c>
      <c r="E92" s="43">
        <v>202</v>
      </c>
      <c r="F92" s="23">
        <f t="shared" si="3"/>
        <v>202</v>
      </c>
      <c r="G92" s="44"/>
      <c r="H92" s="21">
        <v>0</v>
      </c>
      <c r="I92" s="21">
        <v>0</v>
      </c>
      <c r="J92" s="21">
        <v>70.61</v>
      </c>
      <c r="K92" s="21">
        <v>70.61</v>
      </c>
      <c r="L92" s="21"/>
      <c r="M92" s="21">
        <v>0</v>
      </c>
      <c r="N92" s="21">
        <v>215.16824</v>
      </c>
      <c r="O92" s="21">
        <v>215.16824</v>
      </c>
      <c r="P92" s="21"/>
      <c r="Q92" s="36">
        <v>0</v>
      </c>
      <c r="R92" s="36">
        <v>3050.69</v>
      </c>
      <c r="S92" s="36">
        <v>3050.69</v>
      </c>
    </row>
    <row r="93" spans="1:19" x14ac:dyDescent="0.2">
      <c r="A93" s="40">
        <v>73</v>
      </c>
      <c r="B93" s="16" t="s">
        <v>79</v>
      </c>
      <c r="C93" s="49">
        <v>1</v>
      </c>
      <c r="D93" s="49">
        <v>0</v>
      </c>
      <c r="E93" s="49">
        <v>234</v>
      </c>
      <c r="F93" s="32">
        <f t="shared" si="3"/>
        <v>235</v>
      </c>
      <c r="G93" s="50"/>
      <c r="H93" s="51">
        <v>64</v>
      </c>
      <c r="I93" s="51">
        <v>0</v>
      </c>
      <c r="J93" s="51">
        <v>71.61</v>
      </c>
      <c r="K93" s="51">
        <v>71.569999999999993</v>
      </c>
      <c r="L93" s="51"/>
      <c r="M93" s="51">
        <v>0</v>
      </c>
      <c r="N93" s="51">
        <v>162.25579000000002</v>
      </c>
      <c r="O93" s="51">
        <v>162.16288</v>
      </c>
      <c r="P93" s="51"/>
      <c r="Q93" s="52">
        <v>0</v>
      </c>
      <c r="R93" s="52">
        <v>2282.69</v>
      </c>
      <c r="S93" s="52">
        <v>2283.64</v>
      </c>
    </row>
    <row r="95" spans="1:19" x14ac:dyDescent="0.2">
      <c r="B95" s="22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100</v>
      </c>
    </row>
    <row r="3" spans="1:19" x14ac:dyDescent="0.2">
      <c r="A3" s="1" t="s">
        <v>98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19" t="s">
        <v>96</v>
      </c>
      <c r="C6" s="6">
        <v>966</v>
      </c>
      <c r="D6" s="6">
        <v>59</v>
      </c>
      <c r="E6" s="6">
        <v>10600</v>
      </c>
      <c r="F6" s="6">
        <f t="shared" ref="F6" si="0">SUM(C6:E6)</f>
        <v>11625</v>
      </c>
      <c r="G6" s="1"/>
      <c r="H6" s="7">
        <v>84.34</v>
      </c>
      <c r="I6" s="7">
        <v>73.72</v>
      </c>
      <c r="J6" s="7">
        <v>78.56</v>
      </c>
      <c r="K6" s="7">
        <v>79.02</v>
      </c>
      <c r="L6" s="1"/>
      <c r="M6" s="7">
        <v>429.40582000000001</v>
      </c>
      <c r="N6" s="7">
        <v>357.29874000000001</v>
      </c>
      <c r="O6" s="7">
        <v>364.72737000000001</v>
      </c>
      <c r="P6" s="1"/>
      <c r="Q6" s="33">
        <v>4926.54</v>
      </c>
      <c r="R6" s="33">
        <v>4234.1499999999996</v>
      </c>
      <c r="S6" s="33">
        <v>4305.4799999999996</v>
      </c>
    </row>
    <row r="7" spans="1:19" s="3" customFormat="1" x14ac:dyDescent="0.2">
      <c r="B7" s="24"/>
      <c r="C7" s="23"/>
      <c r="D7" s="23"/>
      <c r="E7" s="23"/>
      <c r="F7" s="23"/>
      <c r="G7" s="24"/>
      <c r="H7" s="25"/>
      <c r="I7" s="25"/>
      <c r="J7" s="25"/>
      <c r="K7" s="25"/>
      <c r="L7" s="26"/>
      <c r="M7" s="25"/>
      <c r="N7" s="25"/>
      <c r="O7" s="25"/>
      <c r="P7" s="26"/>
      <c r="Q7" s="34"/>
      <c r="R7" s="34"/>
      <c r="S7" s="34"/>
    </row>
    <row r="8" spans="1:19" s="3" customFormat="1" x14ac:dyDescent="0.2">
      <c r="B8" s="15" t="s">
        <v>90</v>
      </c>
      <c r="C8" s="23"/>
      <c r="D8" s="23"/>
      <c r="E8" s="23"/>
      <c r="F8" s="23"/>
      <c r="G8" s="24"/>
      <c r="H8" s="25"/>
      <c r="I8" s="25"/>
      <c r="J8" s="25"/>
      <c r="K8" s="25"/>
      <c r="L8" s="26"/>
      <c r="M8" s="25"/>
      <c r="N8" s="25"/>
      <c r="O8" s="25"/>
      <c r="P8" s="26"/>
      <c r="Q8" s="34"/>
      <c r="R8" s="34"/>
      <c r="S8" s="34"/>
    </row>
    <row r="9" spans="1:19" s="3" customFormat="1" x14ac:dyDescent="0.2">
      <c r="A9" s="39">
        <v>1</v>
      </c>
      <c r="B9" s="24" t="s">
        <v>81</v>
      </c>
      <c r="C9" s="23">
        <v>56</v>
      </c>
      <c r="D9" s="23">
        <v>8</v>
      </c>
      <c r="E9" s="23">
        <v>997</v>
      </c>
      <c r="F9" s="23">
        <f t="shared" ref="F9:F18" si="1">SUM(C9:E9)</f>
        <v>1061</v>
      </c>
      <c r="G9" s="24"/>
      <c r="H9" s="25">
        <v>61.64</v>
      </c>
      <c r="I9" s="25">
        <v>72.12</v>
      </c>
      <c r="J9" s="25">
        <v>66.08</v>
      </c>
      <c r="K9" s="25">
        <v>65.92</v>
      </c>
      <c r="L9" s="26"/>
      <c r="M9" s="25">
        <v>298.51666999999998</v>
      </c>
      <c r="N9" s="25">
        <v>266.10748000000001</v>
      </c>
      <c r="O9" s="25">
        <v>267.60658000000001</v>
      </c>
      <c r="P9" s="26"/>
      <c r="Q9" s="34">
        <v>4777.17</v>
      </c>
      <c r="R9" s="34">
        <v>4121.8500000000004</v>
      </c>
      <c r="S9" s="34">
        <v>4152.16</v>
      </c>
    </row>
    <row r="10" spans="1:19" s="3" customFormat="1" x14ac:dyDescent="0.2">
      <c r="A10" s="39">
        <v>2</v>
      </c>
      <c r="B10" s="24" t="s">
        <v>82</v>
      </c>
      <c r="C10" s="23">
        <v>190</v>
      </c>
      <c r="D10" s="23">
        <v>13</v>
      </c>
      <c r="E10" s="23">
        <v>1785</v>
      </c>
      <c r="F10" s="23">
        <f t="shared" si="1"/>
        <v>1988</v>
      </c>
      <c r="G10" s="24"/>
      <c r="H10" s="25">
        <v>95.61</v>
      </c>
      <c r="I10" s="25">
        <v>86.75</v>
      </c>
      <c r="J10" s="25">
        <v>89.84</v>
      </c>
      <c r="K10" s="25">
        <v>90.39</v>
      </c>
      <c r="L10" s="26"/>
      <c r="M10" s="25">
        <v>598.08353</v>
      </c>
      <c r="N10" s="25">
        <v>446.30571999999995</v>
      </c>
      <c r="O10" s="25">
        <v>461.59978000000001</v>
      </c>
      <c r="P10" s="26"/>
      <c r="Q10" s="34">
        <v>6186.96</v>
      </c>
      <c r="R10" s="34">
        <v>4882.12</v>
      </c>
      <c r="S10" s="34">
        <v>5013.6000000000004</v>
      </c>
    </row>
    <row r="11" spans="1:19" s="3" customFormat="1" x14ac:dyDescent="0.2">
      <c r="A11" s="39">
        <v>3</v>
      </c>
      <c r="B11" s="24" t="s">
        <v>83</v>
      </c>
      <c r="C11" s="23">
        <v>148</v>
      </c>
      <c r="D11" s="23">
        <v>0</v>
      </c>
      <c r="E11" s="23">
        <v>1251</v>
      </c>
      <c r="F11" s="23">
        <f t="shared" si="1"/>
        <v>1399</v>
      </c>
      <c r="G11" s="24"/>
      <c r="H11" s="25">
        <v>77.59</v>
      </c>
      <c r="I11" s="25">
        <v>0</v>
      </c>
      <c r="J11" s="25">
        <v>67.849999999999994</v>
      </c>
      <c r="K11" s="25">
        <v>68.87</v>
      </c>
      <c r="L11" s="26"/>
      <c r="M11" s="25">
        <v>299.26558</v>
      </c>
      <c r="N11" s="25">
        <v>245.00745000000001</v>
      </c>
      <c r="O11" s="25">
        <v>253.20848999999998</v>
      </c>
      <c r="P11" s="26"/>
      <c r="Q11" s="34">
        <v>3816.71</v>
      </c>
      <c r="R11" s="34">
        <v>3709.79</v>
      </c>
      <c r="S11" s="34">
        <v>3725.95</v>
      </c>
    </row>
    <row r="12" spans="1:19" s="3" customFormat="1" x14ac:dyDescent="0.2">
      <c r="A12" s="39">
        <v>4</v>
      </c>
      <c r="B12" s="24" t="s">
        <v>84</v>
      </c>
      <c r="C12" s="23">
        <v>15</v>
      </c>
      <c r="D12" s="23">
        <v>0</v>
      </c>
      <c r="E12" s="23">
        <v>451</v>
      </c>
      <c r="F12" s="23">
        <f t="shared" si="1"/>
        <v>466</v>
      </c>
      <c r="G12" s="24"/>
      <c r="H12" s="25">
        <v>104.29</v>
      </c>
      <c r="I12" s="25">
        <v>0</v>
      </c>
      <c r="J12" s="25">
        <v>98.04</v>
      </c>
      <c r="K12" s="25">
        <v>98.26</v>
      </c>
      <c r="L12" s="26"/>
      <c r="M12" s="27">
        <v>612.93714</v>
      </c>
      <c r="N12" s="27">
        <v>525.10580000000004</v>
      </c>
      <c r="O12" s="27">
        <v>528.91273000000001</v>
      </c>
      <c r="P12" s="28"/>
      <c r="Q12" s="35">
        <v>5896.06</v>
      </c>
      <c r="R12" s="35">
        <v>4920.0200000000004</v>
      </c>
      <c r="S12" s="35">
        <v>4962.32</v>
      </c>
    </row>
    <row r="13" spans="1:19" s="3" customFormat="1" x14ac:dyDescent="0.2">
      <c r="A13" s="39">
        <v>5</v>
      </c>
      <c r="B13" s="24" t="s">
        <v>85</v>
      </c>
      <c r="C13" s="23">
        <v>84</v>
      </c>
      <c r="D13" s="23">
        <v>1</v>
      </c>
      <c r="E13" s="23">
        <v>764</v>
      </c>
      <c r="F13" s="23">
        <f t="shared" si="1"/>
        <v>849</v>
      </c>
      <c r="G13" s="24"/>
      <c r="H13" s="25">
        <v>122.81</v>
      </c>
      <c r="I13" s="25">
        <v>72</v>
      </c>
      <c r="J13" s="25">
        <v>128.61000000000001</v>
      </c>
      <c r="K13" s="25">
        <v>127.93</v>
      </c>
      <c r="L13" s="26"/>
      <c r="M13" s="27">
        <v>731.43419999999992</v>
      </c>
      <c r="N13" s="27">
        <v>743.54789000000005</v>
      </c>
      <c r="O13" s="27">
        <v>742.25355000000002</v>
      </c>
      <c r="P13" s="28"/>
      <c r="Q13" s="35">
        <v>6162.02</v>
      </c>
      <c r="R13" s="35">
        <v>5793.07</v>
      </c>
      <c r="S13" s="35">
        <v>5832.49</v>
      </c>
    </row>
    <row r="14" spans="1:19" s="3" customFormat="1" x14ac:dyDescent="0.2">
      <c r="A14" s="39">
        <v>6</v>
      </c>
      <c r="B14" s="24" t="s">
        <v>86</v>
      </c>
      <c r="C14" s="23">
        <v>67</v>
      </c>
      <c r="D14" s="23">
        <v>1</v>
      </c>
      <c r="E14" s="23">
        <v>868</v>
      </c>
      <c r="F14" s="23">
        <f t="shared" si="1"/>
        <v>936</v>
      </c>
      <c r="G14" s="24"/>
      <c r="H14" s="25">
        <v>84.93</v>
      </c>
      <c r="I14" s="25">
        <v>0</v>
      </c>
      <c r="J14" s="25">
        <v>79.05</v>
      </c>
      <c r="K14" s="25">
        <v>79.459999999999994</v>
      </c>
      <c r="L14" s="26"/>
      <c r="M14" s="27">
        <v>453.20256999999998</v>
      </c>
      <c r="N14" s="27">
        <v>350.72543999999999</v>
      </c>
      <c r="O14" s="27">
        <v>357.99965999999995</v>
      </c>
      <c r="P14" s="28"/>
      <c r="Q14" s="35">
        <v>4611.6899999999996</v>
      </c>
      <c r="R14" s="35">
        <v>4548.37</v>
      </c>
      <c r="S14" s="35">
        <v>4552.87</v>
      </c>
    </row>
    <row r="15" spans="1:19" s="3" customFormat="1" x14ac:dyDescent="0.2">
      <c r="A15" s="39">
        <v>7</v>
      </c>
      <c r="B15" s="24" t="s">
        <v>87</v>
      </c>
      <c r="C15" s="23">
        <v>154</v>
      </c>
      <c r="D15" s="23">
        <v>8</v>
      </c>
      <c r="E15" s="23">
        <v>942</v>
      </c>
      <c r="F15" s="23">
        <f t="shared" si="1"/>
        <v>1104</v>
      </c>
      <c r="G15" s="24"/>
      <c r="H15" s="25">
        <v>69.08</v>
      </c>
      <c r="I15" s="25">
        <v>65</v>
      </c>
      <c r="J15" s="25">
        <v>70.38</v>
      </c>
      <c r="K15" s="25">
        <v>70.16</v>
      </c>
      <c r="L15" s="26"/>
      <c r="M15" s="27">
        <v>239.12188</v>
      </c>
      <c r="N15" s="27">
        <v>228.327</v>
      </c>
      <c r="O15" s="27">
        <v>229.94217</v>
      </c>
      <c r="P15" s="28"/>
      <c r="Q15" s="35">
        <v>3584.15</v>
      </c>
      <c r="R15" s="35">
        <v>3309.23</v>
      </c>
      <c r="S15" s="35">
        <v>3350.36</v>
      </c>
    </row>
    <row r="16" spans="1:19" s="3" customFormat="1" x14ac:dyDescent="0.2">
      <c r="A16" s="39">
        <v>8</v>
      </c>
      <c r="B16" s="24" t="s">
        <v>88</v>
      </c>
      <c r="C16" s="23">
        <v>20</v>
      </c>
      <c r="D16" s="23">
        <v>0</v>
      </c>
      <c r="E16" s="23">
        <v>1162</v>
      </c>
      <c r="F16" s="23">
        <f t="shared" si="1"/>
        <v>1182</v>
      </c>
      <c r="G16" s="24"/>
      <c r="H16" s="25">
        <v>91.21</v>
      </c>
      <c r="I16" s="25">
        <v>0</v>
      </c>
      <c r="J16" s="25">
        <v>63.09</v>
      </c>
      <c r="K16" s="25">
        <v>63.47</v>
      </c>
      <c r="L16" s="26"/>
      <c r="M16" s="27">
        <v>206.69292999999999</v>
      </c>
      <c r="N16" s="27">
        <v>173.92089999999999</v>
      </c>
      <c r="O16" s="27">
        <v>175.07369</v>
      </c>
      <c r="P16" s="28"/>
      <c r="Q16" s="35">
        <v>2466.8200000000002</v>
      </c>
      <c r="R16" s="35">
        <v>2607.65</v>
      </c>
      <c r="S16" s="35">
        <v>2602.6999999999998</v>
      </c>
    </row>
    <row r="17" spans="1:19" s="3" customFormat="1" x14ac:dyDescent="0.2">
      <c r="A17" s="39">
        <v>9</v>
      </c>
      <c r="B17" s="24" t="s">
        <v>66</v>
      </c>
      <c r="C17" s="23">
        <v>36</v>
      </c>
      <c r="D17" s="23">
        <v>5</v>
      </c>
      <c r="E17" s="23">
        <v>847</v>
      </c>
      <c r="F17" s="23">
        <f t="shared" si="1"/>
        <v>888</v>
      </c>
      <c r="G17" s="24"/>
      <c r="H17" s="25">
        <v>91.33</v>
      </c>
      <c r="I17" s="25">
        <v>78.400000000000006</v>
      </c>
      <c r="J17" s="25">
        <v>71.06</v>
      </c>
      <c r="K17" s="25">
        <v>71.94</v>
      </c>
      <c r="L17" s="26"/>
      <c r="M17" s="27">
        <v>356.88653000000005</v>
      </c>
      <c r="N17" s="27">
        <v>237.96431000000001</v>
      </c>
      <c r="O17" s="27">
        <v>249.11327</v>
      </c>
      <c r="P17" s="28"/>
      <c r="Q17" s="35">
        <v>3915.95</v>
      </c>
      <c r="R17" s="35">
        <v>3224.18</v>
      </c>
      <c r="S17" s="35">
        <v>3289.03</v>
      </c>
    </row>
    <row r="18" spans="1:19" s="3" customFormat="1" x14ac:dyDescent="0.2">
      <c r="A18" s="39">
        <v>10</v>
      </c>
      <c r="B18" s="24" t="s">
        <v>89</v>
      </c>
      <c r="C18" s="23">
        <v>176</v>
      </c>
      <c r="D18" s="23">
        <v>23</v>
      </c>
      <c r="E18" s="23">
        <v>1452</v>
      </c>
      <c r="F18" s="23">
        <f t="shared" si="1"/>
        <v>1651</v>
      </c>
      <c r="G18" s="24"/>
      <c r="H18" s="25">
        <v>74.87</v>
      </c>
      <c r="I18" s="25">
        <v>71.239999999999995</v>
      </c>
      <c r="J18" s="25">
        <v>72.27</v>
      </c>
      <c r="K18" s="25">
        <v>72.55</v>
      </c>
      <c r="L18" s="26"/>
      <c r="M18" s="27">
        <v>414.00644</v>
      </c>
      <c r="N18" s="27">
        <v>294.30459999999999</v>
      </c>
      <c r="O18" s="27">
        <v>311.41933</v>
      </c>
      <c r="P18" s="28"/>
      <c r="Q18" s="35">
        <v>5470.07</v>
      </c>
      <c r="R18" s="35">
        <v>3955.5</v>
      </c>
      <c r="S18" s="35">
        <v>4172.05</v>
      </c>
    </row>
    <row r="19" spans="1:19" s="3" customFormat="1" x14ac:dyDescent="0.2">
      <c r="A19" s="39"/>
      <c r="B19" s="24"/>
      <c r="C19" s="23"/>
      <c r="D19" s="23"/>
      <c r="E19" s="23"/>
      <c r="F19" s="23"/>
      <c r="G19" s="24"/>
      <c r="H19" s="25"/>
      <c r="I19" s="25"/>
      <c r="J19" s="25"/>
      <c r="K19" s="25"/>
      <c r="L19" s="26"/>
      <c r="M19" s="25"/>
      <c r="N19" s="25"/>
      <c r="O19" s="25"/>
      <c r="P19" s="26"/>
      <c r="Q19" s="34"/>
      <c r="R19" s="34"/>
      <c r="S19" s="34"/>
    </row>
    <row r="20" spans="1:19" s="3" customFormat="1" x14ac:dyDescent="0.2">
      <c r="A20" s="39"/>
      <c r="B20" s="15" t="s">
        <v>91</v>
      </c>
      <c r="C20" s="23"/>
      <c r="D20" s="23"/>
      <c r="E20" s="23"/>
      <c r="F20" s="23"/>
      <c r="G20" s="24"/>
      <c r="H20" s="25"/>
      <c r="I20" s="25"/>
      <c r="J20" s="25"/>
      <c r="K20" s="25"/>
      <c r="L20" s="26"/>
      <c r="M20" s="25"/>
      <c r="N20" s="25"/>
      <c r="O20" s="25"/>
      <c r="P20" s="26"/>
      <c r="Q20" s="34"/>
      <c r="R20" s="34"/>
      <c r="S20" s="34"/>
    </row>
    <row r="21" spans="1:19" x14ac:dyDescent="0.2">
      <c r="A21" s="39">
        <v>1</v>
      </c>
      <c r="B21" s="6" t="s">
        <v>8</v>
      </c>
      <c r="C21" s="6">
        <v>4</v>
      </c>
      <c r="D21" s="6">
        <v>7</v>
      </c>
      <c r="E21" s="6">
        <v>384</v>
      </c>
      <c r="F21" s="23">
        <f t="shared" ref="F21:F84" si="2">SUM(C21:E21)</f>
        <v>395</v>
      </c>
      <c r="H21" s="7">
        <v>70.67</v>
      </c>
      <c r="I21" s="7">
        <v>71.569999999999993</v>
      </c>
      <c r="J21" s="7">
        <v>62.62</v>
      </c>
      <c r="K21" s="7">
        <v>62.87</v>
      </c>
      <c r="M21" s="7">
        <v>352.5</v>
      </c>
      <c r="N21" s="7">
        <v>204.36785</v>
      </c>
      <c r="O21" s="7">
        <v>205.25221999999999</v>
      </c>
      <c r="Q21" s="33">
        <v>5969.97</v>
      </c>
      <c r="R21" s="33">
        <v>3305.77</v>
      </c>
      <c r="S21" s="33">
        <v>3321.68</v>
      </c>
    </row>
    <row r="22" spans="1:19" x14ac:dyDescent="0.2">
      <c r="A22" s="39">
        <v>2</v>
      </c>
      <c r="B22" s="6" t="s">
        <v>9</v>
      </c>
      <c r="C22" s="6">
        <v>20</v>
      </c>
      <c r="D22" s="6">
        <v>0</v>
      </c>
      <c r="E22" s="6">
        <v>182</v>
      </c>
      <c r="F22" s="23">
        <f t="shared" si="2"/>
        <v>202</v>
      </c>
      <c r="H22" s="7">
        <v>73.47</v>
      </c>
      <c r="I22" s="7">
        <v>0</v>
      </c>
      <c r="J22" s="7">
        <v>80.72</v>
      </c>
      <c r="K22" s="7">
        <v>80.12</v>
      </c>
      <c r="M22" s="7">
        <v>424.1</v>
      </c>
      <c r="N22" s="7">
        <v>353.66207000000003</v>
      </c>
      <c r="O22" s="7">
        <v>359.53190000000001</v>
      </c>
      <c r="Q22" s="33">
        <v>5734.6</v>
      </c>
      <c r="R22" s="33">
        <v>4385.12</v>
      </c>
      <c r="S22" s="33">
        <v>4497.58</v>
      </c>
    </row>
    <row r="23" spans="1:19" x14ac:dyDescent="0.2">
      <c r="A23" s="39">
        <v>3</v>
      </c>
      <c r="B23" s="6" t="s">
        <v>10</v>
      </c>
      <c r="C23" s="6">
        <v>21</v>
      </c>
      <c r="D23" s="6">
        <v>1</v>
      </c>
      <c r="E23" s="6">
        <v>152</v>
      </c>
      <c r="F23" s="23">
        <f t="shared" si="2"/>
        <v>174</v>
      </c>
      <c r="H23" s="7">
        <v>43.79</v>
      </c>
      <c r="I23" s="7">
        <v>76</v>
      </c>
      <c r="J23" s="7">
        <v>45.55</v>
      </c>
      <c r="K23" s="7">
        <v>45.53</v>
      </c>
      <c r="M23" s="7">
        <v>170.74736999999999</v>
      </c>
      <c r="N23" s="7">
        <v>223.77736999999999</v>
      </c>
      <c r="O23" s="7">
        <v>217.01516000000001</v>
      </c>
      <c r="Q23" s="33">
        <v>3894.2</v>
      </c>
      <c r="R23" s="33">
        <v>5176</v>
      </c>
      <c r="S23" s="33">
        <v>5012.55</v>
      </c>
    </row>
    <row r="24" spans="1:19" x14ac:dyDescent="0.2">
      <c r="A24" s="39">
        <v>4</v>
      </c>
      <c r="B24" s="6" t="s">
        <v>11</v>
      </c>
      <c r="C24" s="6">
        <v>11</v>
      </c>
      <c r="D24" s="6">
        <v>0</v>
      </c>
      <c r="E24" s="6">
        <v>279</v>
      </c>
      <c r="F24" s="23">
        <f t="shared" si="2"/>
        <v>290</v>
      </c>
      <c r="H24" s="7">
        <v>80.86</v>
      </c>
      <c r="I24" s="7">
        <v>0</v>
      </c>
      <c r="J24" s="7">
        <v>72.150000000000006</v>
      </c>
      <c r="K24" s="7">
        <v>72.39</v>
      </c>
      <c r="M24" s="7">
        <v>371.16667000000001</v>
      </c>
      <c r="N24" s="7">
        <v>314.91296</v>
      </c>
      <c r="O24" s="7">
        <v>316.29624999999999</v>
      </c>
      <c r="Q24" s="33">
        <v>4782.07</v>
      </c>
      <c r="R24" s="33">
        <v>4505.3500000000004</v>
      </c>
      <c r="S24" s="33">
        <v>4512.1499999999996</v>
      </c>
    </row>
    <row r="25" spans="1:19" x14ac:dyDescent="0.2">
      <c r="A25" s="39">
        <v>5</v>
      </c>
      <c r="B25" s="6" t="s">
        <v>12</v>
      </c>
      <c r="C25" s="6">
        <v>2</v>
      </c>
      <c r="D25" s="6">
        <v>1</v>
      </c>
      <c r="E25" s="6">
        <v>192</v>
      </c>
      <c r="F25" s="23">
        <f t="shared" si="2"/>
        <v>195</v>
      </c>
      <c r="H25" s="7">
        <v>82</v>
      </c>
      <c r="I25" s="7">
        <v>0</v>
      </c>
      <c r="J25" s="7">
        <v>81.92</v>
      </c>
      <c r="K25" s="7">
        <v>81.92</v>
      </c>
      <c r="M25" s="7">
        <v>0</v>
      </c>
      <c r="N25" s="7">
        <v>364.66867999999999</v>
      </c>
      <c r="O25" s="7">
        <v>364.62723</v>
      </c>
      <c r="Q25" s="7">
        <v>0</v>
      </c>
      <c r="R25" s="33">
        <v>4524.03</v>
      </c>
      <c r="S25" s="33">
        <v>4528.13</v>
      </c>
    </row>
    <row r="26" spans="1:19" x14ac:dyDescent="0.2">
      <c r="A26" s="39">
        <v>6</v>
      </c>
      <c r="B26" s="6" t="s">
        <v>13</v>
      </c>
      <c r="C26" s="6">
        <v>8</v>
      </c>
      <c r="D26" s="6">
        <v>0</v>
      </c>
      <c r="E26" s="6">
        <v>342</v>
      </c>
      <c r="F26" s="23">
        <f t="shared" si="2"/>
        <v>350</v>
      </c>
      <c r="H26" s="7">
        <v>72</v>
      </c>
      <c r="I26" s="7">
        <v>0</v>
      </c>
      <c r="J26" s="7">
        <v>72.760000000000005</v>
      </c>
      <c r="K26" s="7">
        <v>72.739999999999995</v>
      </c>
      <c r="M26" s="7">
        <v>279.72188</v>
      </c>
      <c r="N26" s="7">
        <v>322.65814</v>
      </c>
      <c r="O26" s="7">
        <v>321.52823999999998</v>
      </c>
      <c r="Q26" s="33">
        <v>3880.13</v>
      </c>
      <c r="R26" s="33">
        <v>4532.18</v>
      </c>
      <c r="S26" s="33">
        <v>4515.0200000000004</v>
      </c>
    </row>
    <row r="27" spans="1:19" x14ac:dyDescent="0.2">
      <c r="A27" s="39">
        <v>7</v>
      </c>
      <c r="B27" s="6" t="s">
        <v>14</v>
      </c>
      <c r="C27" s="6">
        <v>72</v>
      </c>
      <c r="D27" s="6">
        <v>0</v>
      </c>
      <c r="E27" s="6">
        <v>370</v>
      </c>
      <c r="F27" s="23">
        <f t="shared" si="2"/>
        <v>442</v>
      </c>
      <c r="H27" s="7">
        <v>103.84</v>
      </c>
      <c r="I27" s="7">
        <v>0</v>
      </c>
      <c r="J27" s="7">
        <v>120.33</v>
      </c>
      <c r="K27" s="7">
        <v>117.7</v>
      </c>
      <c r="M27" s="7">
        <v>890.89328</v>
      </c>
      <c r="N27" s="7">
        <v>701.32997999999998</v>
      </c>
      <c r="O27" s="7">
        <v>731.69929000000002</v>
      </c>
      <c r="Q27" s="33">
        <v>8618.7099999999991</v>
      </c>
      <c r="R27" s="33">
        <v>5732.07</v>
      </c>
      <c r="S27" s="33">
        <v>6194.53</v>
      </c>
    </row>
    <row r="28" spans="1:19" x14ac:dyDescent="0.2">
      <c r="A28" s="39">
        <v>8</v>
      </c>
      <c r="B28" s="6" t="s">
        <v>15</v>
      </c>
      <c r="C28" s="6">
        <v>26</v>
      </c>
      <c r="D28" s="6">
        <v>0</v>
      </c>
      <c r="E28" s="6">
        <v>314</v>
      </c>
      <c r="F28" s="23">
        <f t="shared" si="2"/>
        <v>340</v>
      </c>
      <c r="H28" s="7">
        <v>107.83</v>
      </c>
      <c r="I28" s="7">
        <v>0</v>
      </c>
      <c r="J28" s="7">
        <v>96.6</v>
      </c>
      <c r="K28" s="7">
        <v>97.49</v>
      </c>
      <c r="M28" s="7">
        <v>784.87612999999999</v>
      </c>
      <c r="N28" s="7">
        <v>493.20564000000002</v>
      </c>
      <c r="O28" s="7">
        <v>515.86923000000002</v>
      </c>
      <c r="Q28" s="33">
        <v>7024.33</v>
      </c>
      <c r="R28" s="33">
        <v>5193.8</v>
      </c>
      <c r="S28" s="33">
        <v>5336.04</v>
      </c>
    </row>
    <row r="29" spans="1:19" x14ac:dyDescent="0.2">
      <c r="A29" s="39">
        <v>9</v>
      </c>
      <c r="B29" s="6" t="s">
        <v>16</v>
      </c>
      <c r="C29" s="6">
        <v>77</v>
      </c>
      <c r="D29" s="6">
        <v>10</v>
      </c>
      <c r="E29" s="6">
        <v>306</v>
      </c>
      <c r="F29" s="23">
        <f t="shared" si="2"/>
        <v>393</v>
      </c>
      <c r="H29" s="7">
        <v>76.56</v>
      </c>
      <c r="I29" s="7">
        <v>85</v>
      </c>
      <c r="J29" s="7">
        <v>78.510000000000005</v>
      </c>
      <c r="K29" s="7">
        <v>78.22</v>
      </c>
      <c r="M29" s="7">
        <v>334.38837999999998</v>
      </c>
      <c r="N29" s="7">
        <v>351.93968999999998</v>
      </c>
      <c r="O29" s="7">
        <v>348.00864000000001</v>
      </c>
      <c r="Q29" s="33">
        <v>4331.01</v>
      </c>
      <c r="R29" s="33">
        <v>4529.21</v>
      </c>
      <c r="S29" s="33">
        <v>4484.82</v>
      </c>
    </row>
    <row r="30" spans="1:19" x14ac:dyDescent="0.2">
      <c r="A30" s="39">
        <v>10</v>
      </c>
      <c r="B30" s="6" t="s">
        <v>17</v>
      </c>
      <c r="C30" s="6">
        <v>5</v>
      </c>
      <c r="D30" s="6">
        <v>2</v>
      </c>
      <c r="E30" s="6">
        <v>261</v>
      </c>
      <c r="F30" s="23">
        <f t="shared" si="2"/>
        <v>268</v>
      </c>
      <c r="H30" s="7">
        <v>248.6</v>
      </c>
      <c r="I30" s="7">
        <v>92</v>
      </c>
      <c r="J30" s="7">
        <v>80.09</v>
      </c>
      <c r="K30" s="7">
        <v>83.78</v>
      </c>
      <c r="M30" s="7">
        <v>456.68</v>
      </c>
      <c r="N30" s="7">
        <v>344.00076000000001</v>
      </c>
      <c r="O30" s="7">
        <v>346.60908000000001</v>
      </c>
      <c r="Q30" s="33">
        <v>2746.64</v>
      </c>
      <c r="R30" s="33">
        <v>4369.04</v>
      </c>
      <c r="S30" s="33">
        <v>4331.4799999999996</v>
      </c>
    </row>
    <row r="31" spans="1:19" x14ac:dyDescent="0.2">
      <c r="A31" s="39">
        <v>11</v>
      </c>
      <c r="B31" s="6" t="s">
        <v>18</v>
      </c>
      <c r="C31" s="6">
        <v>3</v>
      </c>
      <c r="D31" s="6">
        <v>0</v>
      </c>
      <c r="E31" s="6">
        <v>351</v>
      </c>
      <c r="F31" s="23">
        <f t="shared" si="2"/>
        <v>354</v>
      </c>
      <c r="H31" s="7">
        <v>74</v>
      </c>
      <c r="I31" s="7">
        <v>0</v>
      </c>
      <c r="J31" s="7">
        <v>63.07</v>
      </c>
      <c r="K31" s="7">
        <v>63.11</v>
      </c>
      <c r="M31" s="7">
        <v>280</v>
      </c>
      <c r="N31" s="7">
        <v>226.74337</v>
      </c>
      <c r="O31" s="7">
        <v>226.93155999999999</v>
      </c>
      <c r="Q31" s="33">
        <v>3783.78</v>
      </c>
      <c r="R31" s="33">
        <v>3787.17</v>
      </c>
      <c r="S31" s="33">
        <v>3787.16</v>
      </c>
    </row>
    <row r="32" spans="1:19" x14ac:dyDescent="0.2">
      <c r="A32" s="39">
        <v>12</v>
      </c>
      <c r="B32" s="6" t="s">
        <v>19</v>
      </c>
      <c r="C32" s="6">
        <v>0</v>
      </c>
      <c r="D32" s="6">
        <v>0</v>
      </c>
      <c r="E32" s="6">
        <v>7</v>
      </c>
      <c r="F32" s="23">
        <f t="shared" si="2"/>
        <v>7</v>
      </c>
      <c r="H32" s="7">
        <v>0</v>
      </c>
      <c r="I32" s="7">
        <v>0</v>
      </c>
      <c r="J32" s="7">
        <v>81</v>
      </c>
      <c r="K32" s="7">
        <v>81</v>
      </c>
      <c r="M32" s="7">
        <v>0</v>
      </c>
      <c r="N32" s="7">
        <v>119.96939999999999</v>
      </c>
      <c r="O32" s="7">
        <v>119.96939999999999</v>
      </c>
      <c r="Q32" s="33">
        <v>0</v>
      </c>
      <c r="R32" s="33">
        <v>1507.18</v>
      </c>
      <c r="S32" s="33">
        <v>1507.18</v>
      </c>
    </row>
    <row r="33" spans="1:19" x14ac:dyDescent="0.2">
      <c r="A33" s="39">
        <v>13</v>
      </c>
      <c r="B33" s="6" t="s">
        <v>20</v>
      </c>
      <c r="C33" s="6">
        <v>11</v>
      </c>
      <c r="D33" s="6">
        <v>0</v>
      </c>
      <c r="E33" s="6">
        <v>208</v>
      </c>
      <c r="F33" s="23">
        <f t="shared" si="2"/>
        <v>219</v>
      </c>
      <c r="H33" s="7">
        <v>63.18</v>
      </c>
      <c r="I33" s="7">
        <v>0</v>
      </c>
      <c r="J33" s="7">
        <v>68.599999999999994</v>
      </c>
      <c r="K33" s="7">
        <v>68.3</v>
      </c>
      <c r="M33" s="7">
        <v>213.88909000000001</v>
      </c>
      <c r="N33" s="7">
        <v>219.31577999999999</v>
      </c>
      <c r="O33" s="7">
        <v>218.68073999999999</v>
      </c>
      <c r="Q33" s="33">
        <v>3517.61</v>
      </c>
      <c r="R33" s="33">
        <v>3410.57</v>
      </c>
      <c r="S33" s="33">
        <v>3423.1</v>
      </c>
    </row>
    <row r="34" spans="1:19" x14ac:dyDescent="0.2">
      <c r="A34" s="39">
        <v>14</v>
      </c>
      <c r="B34" s="6" t="s">
        <v>21</v>
      </c>
      <c r="C34" s="6">
        <v>5</v>
      </c>
      <c r="D34" s="6">
        <v>0</v>
      </c>
      <c r="E34" s="6">
        <v>48</v>
      </c>
      <c r="F34" s="23">
        <f t="shared" si="2"/>
        <v>53</v>
      </c>
      <c r="H34" s="7">
        <v>75.8</v>
      </c>
      <c r="I34" s="7">
        <v>0</v>
      </c>
      <c r="J34" s="7">
        <v>78.81</v>
      </c>
      <c r="K34" s="7">
        <v>78.5</v>
      </c>
      <c r="M34" s="7">
        <v>168</v>
      </c>
      <c r="N34" s="7">
        <v>281.55432999999999</v>
      </c>
      <c r="O34" s="7">
        <v>269.72575000000001</v>
      </c>
      <c r="Q34" s="33">
        <v>2294.09</v>
      </c>
      <c r="R34" s="33">
        <v>3673.72</v>
      </c>
      <c r="S34" s="33">
        <v>3530.01</v>
      </c>
    </row>
    <row r="35" spans="1:19" x14ac:dyDescent="0.2">
      <c r="A35" s="39">
        <v>15</v>
      </c>
      <c r="B35" s="6" t="s">
        <v>22</v>
      </c>
      <c r="C35" s="6">
        <v>30</v>
      </c>
      <c r="D35" s="6">
        <v>0</v>
      </c>
      <c r="E35" s="6">
        <v>90</v>
      </c>
      <c r="F35" s="23">
        <f t="shared" si="2"/>
        <v>120</v>
      </c>
      <c r="H35" s="7">
        <v>68</v>
      </c>
      <c r="I35" s="7">
        <v>0</v>
      </c>
      <c r="J35" s="7">
        <v>66.650000000000006</v>
      </c>
      <c r="K35" s="7">
        <v>66.98</v>
      </c>
      <c r="M35" s="7">
        <v>195.91296</v>
      </c>
      <c r="N35" s="7">
        <v>217.61378999999999</v>
      </c>
      <c r="O35" s="7">
        <v>212.13788</v>
      </c>
      <c r="Q35" s="33">
        <v>3082.54</v>
      </c>
      <c r="R35" s="33">
        <v>3327.19</v>
      </c>
      <c r="S35" s="33">
        <v>3265.46</v>
      </c>
    </row>
    <row r="36" spans="1:19" x14ac:dyDescent="0.2">
      <c r="A36" s="39">
        <v>16</v>
      </c>
      <c r="B36" s="6" t="s">
        <v>23</v>
      </c>
      <c r="C36" s="6">
        <v>63</v>
      </c>
      <c r="D36" s="6">
        <v>0</v>
      </c>
      <c r="E36" s="6">
        <v>113</v>
      </c>
      <c r="F36" s="23">
        <f t="shared" si="2"/>
        <v>176</v>
      </c>
      <c r="H36" s="7">
        <v>88.3</v>
      </c>
      <c r="I36" s="7">
        <v>0</v>
      </c>
      <c r="J36" s="7">
        <v>67.98</v>
      </c>
      <c r="K36" s="7">
        <v>75.55</v>
      </c>
      <c r="M36" s="7">
        <v>393.79415999999998</v>
      </c>
      <c r="N36" s="7">
        <v>220.62081000000001</v>
      </c>
      <c r="O36" s="7">
        <v>325.63018</v>
      </c>
      <c r="Q36" s="33">
        <v>4426.42</v>
      </c>
      <c r="R36" s="33">
        <v>3405.5</v>
      </c>
      <c r="S36" s="33">
        <v>4024.57</v>
      </c>
    </row>
    <row r="37" spans="1:19" x14ac:dyDescent="0.2">
      <c r="A37" s="39">
        <v>17</v>
      </c>
      <c r="B37" s="6" t="s">
        <v>24</v>
      </c>
      <c r="C37" s="6">
        <v>22</v>
      </c>
      <c r="D37" s="6">
        <v>0</v>
      </c>
      <c r="E37" s="6">
        <v>172</v>
      </c>
      <c r="F37" s="23">
        <f t="shared" si="2"/>
        <v>194</v>
      </c>
      <c r="H37" s="7">
        <v>69.31</v>
      </c>
      <c r="I37" s="7">
        <v>0</v>
      </c>
      <c r="J37" s="7">
        <v>67.8</v>
      </c>
      <c r="K37" s="7">
        <v>67.930000000000007</v>
      </c>
      <c r="M37" s="7">
        <v>267.11538000000002</v>
      </c>
      <c r="N37" s="7">
        <v>240.09514999999999</v>
      </c>
      <c r="O37" s="7">
        <v>246.85021</v>
      </c>
      <c r="Q37" s="33">
        <v>3811.69</v>
      </c>
      <c r="R37" s="33">
        <v>3255.26</v>
      </c>
      <c r="S37" s="33">
        <v>3394.37</v>
      </c>
    </row>
    <row r="38" spans="1:19" x14ac:dyDescent="0.2">
      <c r="A38" s="39">
        <v>18</v>
      </c>
      <c r="B38" s="6" t="s">
        <v>25</v>
      </c>
      <c r="C38" s="6">
        <v>14</v>
      </c>
      <c r="D38" s="6">
        <v>0</v>
      </c>
      <c r="E38" s="6">
        <v>262</v>
      </c>
      <c r="F38" s="23">
        <f t="shared" si="2"/>
        <v>276</v>
      </c>
      <c r="H38" s="7">
        <v>71</v>
      </c>
      <c r="I38" s="7">
        <v>0</v>
      </c>
      <c r="J38" s="7">
        <v>71.650000000000006</v>
      </c>
      <c r="K38" s="7">
        <v>71.62</v>
      </c>
      <c r="M38" s="7">
        <v>247.90908999999999</v>
      </c>
      <c r="N38" s="7">
        <v>318.84810999999996</v>
      </c>
      <c r="O38" s="7">
        <v>313.39125999999999</v>
      </c>
      <c r="Q38" s="33">
        <v>3459.46</v>
      </c>
      <c r="R38" s="33">
        <v>4295.95</v>
      </c>
      <c r="S38" s="33">
        <v>4231.6000000000004</v>
      </c>
    </row>
    <row r="39" spans="1:19" x14ac:dyDescent="0.2">
      <c r="A39" s="39">
        <v>19</v>
      </c>
      <c r="B39" s="6" t="s">
        <v>26</v>
      </c>
      <c r="C39" s="6">
        <v>10</v>
      </c>
      <c r="D39" s="6">
        <v>0</v>
      </c>
      <c r="E39" s="6">
        <v>255</v>
      </c>
      <c r="F39" s="23">
        <f t="shared" si="2"/>
        <v>265</v>
      </c>
      <c r="H39" s="7">
        <v>91.56</v>
      </c>
      <c r="I39" s="7">
        <v>0</v>
      </c>
      <c r="J39" s="7">
        <v>87.49</v>
      </c>
      <c r="K39" s="7">
        <v>87.65</v>
      </c>
      <c r="M39" s="7">
        <v>567.34667000000002</v>
      </c>
      <c r="N39" s="7">
        <v>419.98820000000001</v>
      </c>
      <c r="O39" s="7">
        <v>426.72030999999998</v>
      </c>
      <c r="Q39" s="33">
        <v>6183.13</v>
      </c>
      <c r="R39" s="33">
        <v>4734.3</v>
      </c>
      <c r="S39" s="33">
        <v>4800.49</v>
      </c>
    </row>
    <row r="40" spans="1:19" x14ac:dyDescent="0.2">
      <c r="A40" s="39">
        <v>20</v>
      </c>
      <c r="B40" s="6" t="s">
        <v>27</v>
      </c>
      <c r="C40" s="6">
        <v>1</v>
      </c>
      <c r="D40" s="6">
        <v>0</v>
      </c>
      <c r="E40" s="6">
        <v>114</v>
      </c>
      <c r="F40" s="23">
        <f t="shared" si="2"/>
        <v>115</v>
      </c>
      <c r="H40" s="7">
        <v>145</v>
      </c>
      <c r="I40" s="7">
        <v>0</v>
      </c>
      <c r="J40" s="7">
        <v>80.650000000000006</v>
      </c>
      <c r="K40" s="7">
        <v>81.34</v>
      </c>
      <c r="M40" s="7">
        <v>0</v>
      </c>
      <c r="N40" s="7">
        <v>401.6705</v>
      </c>
      <c r="O40" s="7">
        <v>406.54921999999999</v>
      </c>
      <c r="Q40" s="7">
        <v>0</v>
      </c>
      <c r="R40" s="33">
        <v>4698.8999999999996</v>
      </c>
      <c r="S40" s="33">
        <v>4697.4799999999996</v>
      </c>
    </row>
    <row r="41" spans="1:19" x14ac:dyDescent="0.2">
      <c r="A41" s="39">
        <v>21</v>
      </c>
      <c r="B41" s="6" t="s">
        <v>28</v>
      </c>
      <c r="C41" s="6">
        <v>4</v>
      </c>
      <c r="D41" s="6">
        <v>0</v>
      </c>
      <c r="E41" s="6">
        <v>82</v>
      </c>
      <c r="F41" s="23">
        <f t="shared" si="2"/>
        <v>86</v>
      </c>
      <c r="H41" s="7">
        <v>122.75</v>
      </c>
      <c r="I41" s="7">
        <v>0</v>
      </c>
      <c r="J41" s="7">
        <v>153.54</v>
      </c>
      <c r="K41" s="7">
        <v>151.9</v>
      </c>
      <c r="M41" s="7">
        <v>701.25</v>
      </c>
      <c r="N41" s="7">
        <v>919.54782</v>
      </c>
      <c r="O41" s="7">
        <v>907.24934999999994</v>
      </c>
      <c r="Q41" s="33">
        <v>5569.01</v>
      </c>
      <c r="R41" s="33">
        <v>5619.35</v>
      </c>
      <c r="S41" s="33">
        <v>5616.51</v>
      </c>
    </row>
    <row r="42" spans="1:19" x14ac:dyDescent="0.2">
      <c r="A42" s="39">
        <v>22</v>
      </c>
      <c r="B42" s="6" t="s">
        <v>29</v>
      </c>
      <c r="C42" s="6">
        <v>2</v>
      </c>
      <c r="D42" s="6">
        <v>0</v>
      </c>
      <c r="E42" s="6">
        <v>20</v>
      </c>
      <c r="F42" s="23">
        <f t="shared" si="2"/>
        <v>22</v>
      </c>
      <c r="H42" s="7">
        <v>250.5</v>
      </c>
      <c r="I42" s="7">
        <v>0</v>
      </c>
      <c r="J42" s="7">
        <v>130.07</v>
      </c>
      <c r="K42" s="7">
        <v>145.12</v>
      </c>
      <c r="M42" s="7">
        <v>0</v>
      </c>
      <c r="N42" s="7">
        <v>421.28240999999997</v>
      </c>
      <c r="O42" s="7">
        <v>383.94711000000001</v>
      </c>
      <c r="Q42" s="7">
        <v>0</v>
      </c>
      <c r="R42" s="33">
        <v>4086.82</v>
      </c>
      <c r="S42" s="33">
        <v>3766.13</v>
      </c>
    </row>
    <row r="43" spans="1:19" x14ac:dyDescent="0.2">
      <c r="A43" s="39">
        <v>23</v>
      </c>
      <c r="B43" s="6" t="s">
        <v>30</v>
      </c>
      <c r="C43" s="6">
        <v>5</v>
      </c>
      <c r="D43" s="6">
        <v>0</v>
      </c>
      <c r="E43" s="6">
        <v>151</v>
      </c>
      <c r="F43" s="23">
        <f t="shared" si="2"/>
        <v>156</v>
      </c>
      <c r="H43" s="7">
        <v>112.8</v>
      </c>
      <c r="I43" s="7">
        <v>0</v>
      </c>
      <c r="J43" s="7">
        <v>109.05</v>
      </c>
      <c r="K43" s="7">
        <v>109.19</v>
      </c>
      <c r="M43" s="7">
        <v>1183.7</v>
      </c>
      <c r="N43" s="7">
        <v>740.83617000000004</v>
      </c>
      <c r="O43" s="7">
        <v>758.69358</v>
      </c>
      <c r="Q43" s="33">
        <v>10739.68</v>
      </c>
      <c r="R43" s="33">
        <v>6586.69</v>
      </c>
      <c r="S43" s="33">
        <v>6754.15</v>
      </c>
    </row>
    <row r="44" spans="1:19" x14ac:dyDescent="0.2">
      <c r="A44" s="39">
        <v>24</v>
      </c>
      <c r="B44" s="6" t="s">
        <v>31</v>
      </c>
      <c r="C44" s="6">
        <v>3</v>
      </c>
      <c r="D44" s="6">
        <v>0</v>
      </c>
      <c r="E44" s="6">
        <v>82</v>
      </c>
      <c r="F44" s="23">
        <f t="shared" si="2"/>
        <v>85</v>
      </c>
      <c r="H44" s="7">
        <v>144.66999999999999</v>
      </c>
      <c r="I44" s="7">
        <v>0</v>
      </c>
      <c r="J44" s="7">
        <v>149.88999999999999</v>
      </c>
      <c r="K44" s="7">
        <v>149.69</v>
      </c>
      <c r="M44" s="7">
        <v>803.66667000000007</v>
      </c>
      <c r="N44" s="7">
        <v>991.89641000000006</v>
      </c>
      <c r="O44" s="7">
        <v>984.26546999999994</v>
      </c>
      <c r="Q44" s="33">
        <v>5617.54</v>
      </c>
      <c r="R44" s="33">
        <v>6519.35</v>
      </c>
      <c r="S44" s="33">
        <v>6482.79</v>
      </c>
    </row>
    <row r="45" spans="1:19" x14ac:dyDescent="0.2">
      <c r="A45" s="39">
        <v>25</v>
      </c>
      <c r="B45" s="6" t="s">
        <v>32</v>
      </c>
      <c r="C45" s="6">
        <v>15</v>
      </c>
      <c r="D45" s="6">
        <v>0</v>
      </c>
      <c r="E45" s="6">
        <v>115</v>
      </c>
      <c r="F45" s="23">
        <f t="shared" si="2"/>
        <v>130</v>
      </c>
      <c r="H45" s="7">
        <v>111.54</v>
      </c>
      <c r="I45" s="7">
        <v>0</v>
      </c>
      <c r="J45" s="7">
        <v>126</v>
      </c>
      <c r="K45" s="7">
        <v>124.32</v>
      </c>
      <c r="M45" s="7">
        <v>650.19231000000002</v>
      </c>
      <c r="N45" s="7">
        <v>746.1105500000001</v>
      </c>
      <c r="O45" s="7">
        <v>734.97718000000009</v>
      </c>
      <c r="Q45" s="33">
        <v>5790.65</v>
      </c>
      <c r="R45" s="33">
        <v>5847.66</v>
      </c>
      <c r="S45" s="33">
        <v>5841.04</v>
      </c>
    </row>
    <row r="46" spans="1:19" x14ac:dyDescent="0.2">
      <c r="A46" s="39">
        <v>26</v>
      </c>
      <c r="B46" s="6" t="s">
        <v>33</v>
      </c>
      <c r="C46" s="6">
        <v>52</v>
      </c>
      <c r="D46" s="6">
        <v>0</v>
      </c>
      <c r="E46" s="6">
        <v>256</v>
      </c>
      <c r="F46" s="23">
        <f t="shared" si="2"/>
        <v>308</v>
      </c>
      <c r="H46" s="7">
        <v>125.6</v>
      </c>
      <c r="I46" s="7">
        <v>0</v>
      </c>
      <c r="J46" s="7">
        <v>136.79</v>
      </c>
      <c r="K46" s="7">
        <v>134.84</v>
      </c>
      <c r="M46" s="7">
        <v>766.80557999999996</v>
      </c>
      <c r="N46" s="7">
        <v>805.54700000000003</v>
      </c>
      <c r="O46" s="7">
        <v>798.7601800000001</v>
      </c>
      <c r="Q46" s="33">
        <v>6113.48</v>
      </c>
      <c r="R46" s="33">
        <v>5879.87</v>
      </c>
      <c r="S46" s="33">
        <v>5920.79</v>
      </c>
    </row>
    <row r="47" spans="1:19" x14ac:dyDescent="0.2">
      <c r="A47" s="39">
        <v>27</v>
      </c>
      <c r="B47" s="6" t="s">
        <v>34</v>
      </c>
      <c r="C47" s="6">
        <v>7</v>
      </c>
      <c r="D47" s="6">
        <v>1</v>
      </c>
      <c r="E47" s="6">
        <v>140</v>
      </c>
      <c r="F47" s="23">
        <f t="shared" si="2"/>
        <v>148</v>
      </c>
      <c r="H47" s="7">
        <v>85.86</v>
      </c>
      <c r="I47" s="7">
        <v>72</v>
      </c>
      <c r="J47" s="7">
        <v>122.77</v>
      </c>
      <c r="K47" s="7">
        <v>120.41</v>
      </c>
      <c r="M47" s="7">
        <v>459.71429000000001</v>
      </c>
      <c r="N47" s="7">
        <v>523.51671999999996</v>
      </c>
      <c r="O47" s="7">
        <v>520.08119999999997</v>
      </c>
      <c r="Q47" s="33">
        <v>5474.05</v>
      </c>
      <c r="R47" s="33">
        <v>4596.8100000000004</v>
      </c>
      <c r="S47" s="33">
        <v>4644.05</v>
      </c>
    </row>
    <row r="48" spans="1:19" x14ac:dyDescent="0.2">
      <c r="A48" s="39">
        <v>28</v>
      </c>
      <c r="B48" s="6" t="s">
        <v>35</v>
      </c>
      <c r="C48" s="6">
        <v>23</v>
      </c>
      <c r="D48" s="6">
        <v>1</v>
      </c>
      <c r="E48" s="6">
        <v>79</v>
      </c>
      <c r="F48" s="23">
        <f t="shared" si="2"/>
        <v>103</v>
      </c>
      <c r="H48" s="7">
        <v>97.05</v>
      </c>
      <c r="I48" s="7">
        <v>0</v>
      </c>
      <c r="J48" s="7">
        <v>86.33</v>
      </c>
      <c r="K48" s="7">
        <v>88.74</v>
      </c>
      <c r="M48" s="7">
        <v>396.18528999999995</v>
      </c>
      <c r="N48" s="7">
        <v>341.34722999999997</v>
      </c>
      <c r="O48" s="7">
        <v>354.25029999999998</v>
      </c>
      <c r="Q48" s="33">
        <v>4038.31</v>
      </c>
      <c r="R48" s="33">
        <v>4038.52</v>
      </c>
      <c r="S48" s="33">
        <v>4038.47</v>
      </c>
    </row>
    <row r="49" spans="1:19" x14ac:dyDescent="0.2">
      <c r="A49" s="39">
        <v>29</v>
      </c>
      <c r="B49" s="6" t="s">
        <v>36</v>
      </c>
      <c r="C49" s="6">
        <v>21</v>
      </c>
      <c r="D49" s="6">
        <v>0</v>
      </c>
      <c r="E49" s="6">
        <v>43</v>
      </c>
      <c r="F49" s="23">
        <f t="shared" si="2"/>
        <v>64</v>
      </c>
      <c r="H49" s="7">
        <v>62.33</v>
      </c>
      <c r="I49" s="7">
        <v>0</v>
      </c>
      <c r="J49" s="7">
        <v>71.849999999999994</v>
      </c>
      <c r="K49" s="7">
        <v>68.84</v>
      </c>
      <c r="M49" s="7">
        <v>213.08320000000001</v>
      </c>
      <c r="N49" s="7">
        <v>222.52363</v>
      </c>
      <c r="O49" s="7">
        <v>219.37682000000001</v>
      </c>
      <c r="Q49" s="33">
        <v>3263.99</v>
      </c>
      <c r="R49" s="33">
        <v>3096.01</v>
      </c>
      <c r="S49" s="33">
        <v>3152</v>
      </c>
    </row>
    <row r="50" spans="1:19" x14ac:dyDescent="0.2">
      <c r="A50" s="39">
        <v>30</v>
      </c>
      <c r="B50" s="6" t="s">
        <v>37</v>
      </c>
      <c r="C50" s="6">
        <v>1</v>
      </c>
      <c r="D50" s="6">
        <v>0</v>
      </c>
      <c r="E50" s="6">
        <v>111</v>
      </c>
      <c r="F50" s="23">
        <f t="shared" si="2"/>
        <v>112</v>
      </c>
      <c r="H50" s="7">
        <v>75</v>
      </c>
      <c r="I50" s="7">
        <v>0</v>
      </c>
      <c r="J50" s="7">
        <v>84.39</v>
      </c>
      <c r="K50" s="7">
        <v>84.3</v>
      </c>
      <c r="M50" s="7">
        <v>0</v>
      </c>
      <c r="N50" s="7">
        <v>366.71051</v>
      </c>
      <c r="O50" s="7">
        <v>366.20353999999998</v>
      </c>
      <c r="Q50" s="7">
        <v>0</v>
      </c>
      <c r="R50" s="33">
        <v>4395.32</v>
      </c>
      <c r="S50" s="33">
        <v>4393.41</v>
      </c>
    </row>
    <row r="51" spans="1:19" x14ac:dyDescent="0.2">
      <c r="A51" s="39">
        <v>31</v>
      </c>
      <c r="B51" s="6" t="s">
        <v>38</v>
      </c>
      <c r="C51" s="6">
        <v>22</v>
      </c>
      <c r="D51" s="6">
        <v>0</v>
      </c>
      <c r="E51" s="6">
        <v>379</v>
      </c>
      <c r="F51" s="23">
        <f t="shared" si="2"/>
        <v>401</v>
      </c>
      <c r="H51" s="7">
        <v>94.61</v>
      </c>
      <c r="I51" s="7">
        <v>0</v>
      </c>
      <c r="J51" s="7">
        <v>80.790000000000006</v>
      </c>
      <c r="K51" s="7">
        <v>81.489999999999995</v>
      </c>
      <c r="M51" s="7">
        <v>764.35239000000001</v>
      </c>
      <c r="N51" s="7">
        <v>376.34663</v>
      </c>
      <c r="O51" s="7">
        <v>396.24435999999997</v>
      </c>
      <c r="Q51" s="33">
        <v>6619.36</v>
      </c>
      <c r="R51" s="33">
        <v>4857.28</v>
      </c>
      <c r="S51" s="33">
        <v>4947.6400000000003</v>
      </c>
    </row>
    <row r="52" spans="1:19" x14ac:dyDescent="0.2">
      <c r="A52" s="39">
        <v>32</v>
      </c>
      <c r="B52" s="6" t="s">
        <v>39</v>
      </c>
      <c r="C52" s="6">
        <v>0</v>
      </c>
      <c r="D52" s="6">
        <v>0</v>
      </c>
      <c r="E52" s="6">
        <v>256</v>
      </c>
      <c r="F52" s="23">
        <f t="shared" si="2"/>
        <v>256</v>
      </c>
      <c r="H52" s="7">
        <v>0</v>
      </c>
      <c r="I52" s="7">
        <v>0</v>
      </c>
      <c r="J52" s="7">
        <v>72.83</v>
      </c>
      <c r="K52" s="7">
        <v>72.83</v>
      </c>
      <c r="M52" s="7">
        <v>0</v>
      </c>
      <c r="N52" s="7">
        <v>327.40080999999998</v>
      </c>
      <c r="O52" s="7">
        <v>327.40080999999998</v>
      </c>
      <c r="Q52" s="33">
        <v>0</v>
      </c>
      <c r="R52" s="33">
        <v>4538.9799999999996</v>
      </c>
      <c r="S52" s="33">
        <v>4538.9799999999996</v>
      </c>
    </row>
    <row r="53" spans="1:19" x14ac:dyDescent="0.2">
      <c r="A53" s="39">
        <v>33</v>
      </c>
      <c r="B53" s="6" t="s">
        <v>40</v>
      </c>
      <c r="C53" s="6">
        <v>14</v>
      </c>
      <c r="D53" s="6">
        <v>0</v>
      </c>
      <c r="E53" s="6">
        <v>157</v>
      </c>
      <c r="F53" s="23">
        <f t="shared" si="2"/>
        <v>171</v>
      </c>
      <c r="H53" s="7">
        <v>58.31</v>
      </c>
      <c r="I53" s="7">
        <v>0</v>
      </c>
      <c r="J53" s="7">
        <v>69.650000000000006</v>
      </c>
      <c r="K53" s="7">
        <v>68.63</v>
      </c>
      <c r="M53" s="7">
        <v>228</v>
      </c>
      <c r="N53" s="7">
        <v>263.74694</v>
      </c>
      <c r="O53" s="7">
        <v>260.49722000000003</v>
      </c>
      <c r="Q53" s="33">
        <v>3992.81</v>
      </c>
      <c r="R53" s="33">
        <v>3841.51</v>
      </c>
      <c r="S53" s="33">
        <v>3855.26</v>
      </c>
    </row>
    <row r="54" spans="1:19" x14ac:dyDescent="0.2">
      <c r="A54" s="39">
        <v>34</v>
      </c>
      <c r="B54" s="6" t="s">
        <v>41</v>
      </c>
      <c r="C54" s="6">
        <v>0</v>
      </c>
      <c r="D54" s="6">
        <v>0</v>
      </c>
      <c r="E54" s="6">
        <v>66</v>
      </c>
      <c r="F54" s="23">
        <f t="shared" si="2"/>
        <v>66</v>
      </c>
      <c r="H54" s="7">
        <v>0</v>
      </c>
      <c r="I54" s="7">
        <v>0</v>
      </c>
      <c r="J54" s="7">
        <v>67.8</v>
      </c>
      <c r="K54" s="7">
        <v>67.8</v>
      </c>
      <c r="M54" s="7">
        <v>0</v>
      </c>
      <c r="N54" s="7">
        <v>197.78582</v>
      </c>
      <c r="O54" s="7">
        <v>197.78582</v>
      </c>
      <c r="Q54" s="33">
        <v>0</v>
      </c>
      <c r="R54" s="33">
        <v>2992.17</v>
      </c>
      <c r="S54" s="33">
        <v>2992.17</v>
      </c>
    </row>
    <row r="55" spans="1:19" x14ac:dyDescent="0.2">
      <c r="A55" s="39">
        <v>35</v>
      </c>
      <c r="B55" s="6" t="s">
        <v>42</v>
      </c>
      <c r="C55" s="6">
        <v>11</v>
      </c>
      <c r="D55" s="6">
        <v>0</v>
      </c>
      <c r="E55" s="6">
        <v>211</v>
      </c>
      <c r="F55" s="23">
        <f t="shared" si="2"/>
        <v>222</v>
      </c>
      <c r="H55" s="7">
        <v>61.91</v>
      </c>
      <c r="I55" s="7">
        <v>0</v>
      </c>
      <c r="J55" s="7">
        <v>73.19</v>
      </c>
      <c r="K55" s="7">
        <v>72.55</v>
      </c>
      <c r="M55" s="7">
        <v>290.37400000000002</v>
      </c>
      <c r="N55" s="7">
        <v>253.6309</v>
      </c>
      <c r="O55" s="7">
        <v>255.73597000000001</v>
      </c>
      <c r="Q55" s="33">
        <v>6819.17</v>
      </c>
      <c r="R55" s="33">
        <v>3621.26</v>
      </c>
      <c r="S55" s="33">
        <v>3804.47</v>
      </c>
    </row>
    <row r="56" spans="1:19" x14ac:dyDescent="0.2">
      <c r="A56" s="39">
        <v>36</v>
      </c>
      <c r="B56" s="6" t="s">
        <v>43</v>
      </c>
      <c r="C56" s="6">
        <v>6</v>
      </c>
      <c r="D56" s="6">
        <v>0</v>
      </c>
      <c r="E56" s="6">
        <v>77</v>
      </c>
      <c r="F56" s="23">
        <f t="shared" si="2"/>
        <v>83</v>
      </c>
      <c r="H56" s="7">
        <v>88.5</v>
      </c>
      <c r="I56" s="7">
        <v>0</v>
      </c>
      <c r="J56" s="7">
        <v>86.41</v>
      </c>
      <c r="K56" s="7">
        <v>86.58</v>
      </c>
      <c r="M56" s="7">
        <v>492.21666999999997</v>
      </c>
      <c r="N56" s="7">
        <v>323.27695</v>
      </c>
      <c r="O56" s="7">
        <v>336.79212999999999</v>
      </c>
      <c r="Q56" s="33">
        <v>5748.37</v>
      </c>
      <c r="R56" s="33">
        <v>3898.96</v>
      </c>
      <c r="S56" s="33">
        <v>4046.91</v>
      </c>
    </row>
    <row r="57" spans="1:19" x14ac:dyDescent="0.2">
      <c r="A57" s="39">
        <v>37</v>
      </c>
      <c r="B57" s="6" t="s">
        <v>44</v>
      </c>
      <c r="C57" s="6">
        <v>35</v>
      </c>
      <c r="D57" s="6">
        <v>4</v>
      </c>
      <c r="E57" s="6">
        <v>167</v>
      </c>
      <c r="F57" s="23">
        <f t="shared" si="2"/>
        <v>206</v>
      </c>
      <c r="H57" s="7">
        <v>60.4</v>
      </c>
      <c r="I57" s="7">
        <v>70.5</v>
      </c>
      <c r="J57" s="7">
        <v>62.79</v>
      </c>
      <c r="K57" s="7">
        <v>62.57</v>
      </c>
      <c r="M57" s="7">
        <v>154.28332999999998</v>
      </c>
      <c r="N57" s="7">
        <v>166.44704000000002</v>
      </c>
      <c r="O57" s="7">
        <v>164.34985</v>
      </c>
      <c r="Q57" s="33">
        <v>2648.44</v>
      </c>
      <c r="R57" s="33">
        <v>2613.06</v>
      </c>
      <c r="S57" s="33">
        <v>2619.16</v>
      </c>
    </row>
    <row r="58" spans="1:19" x14ac:dyDescent="0.2">
      <c r="A58" s="39">
        <v>38</v>
      </c>
      <c r="B58" s="6" t="s">
        <v>45</v>
      </c>
      <c r="C58" s="6">
        <v>38</v>
      </c>
      <c r="D58" s="6">
        <v>0</v>
      </c>
      <c r="E58" s="6">
        <v>60</v>
      </c>
      <c r="F58" s="23">
        <f t="shared" si="2"/>
        <v>98</v>
      </c>
      <c r="H58" s="7">
        <v>76.290000000000006</v>
      </c>
      <c r="I58" s="7">
        <v>0</v>
      </c>
      <c r="J58" s="7">
        <v>61.95</v>
      </c>
      <c r="K58" s="7">
        <v>67.41</v>
      </c>
      <c r="M58" s="7">
        <v>229.38139000000001</v>
      </c>
      <c r="N58" s="7">
        <v>159.14239000000001</v>
      </c>
      <c r="O58" s="7">
        <v>185.86375000000001</v>
      </c>
      <c r="Q58" s="33">
        <v>2869.22</v>
      </c>
      <c r="R58" s="33">
        <v>2612.83</v>
      </c>
      <c r="S58" s="33">
        <v>2710.37</v>
      </c>
    </row>
    <row r="59" spans="1:19" x14ac:dyDescent="0.2">
      <c r="A59" s="39">
        <v>39</v>
      </c>
      <c r="B59" s="6" t="s">
        <v>46</v>
      </c>
      <c r="C59" s="6">
        <v>22</v>
      </c>
      <c r="D59" s="6">
        <v>1</v>
      </c>
      <c r="E59" s="6">
        <v>23</v>
      </c>
      <c r="F59" s="23">
        <f t="shared" si="2"/>
        <v>46</v>
      </c>
      <c r="H59" s="7">
        <v>67.25</v>
      </c>
      <c r="I59" s="7">
        <v>52</v>
      </c>
      <c r="J59" s="7">
        <v>65.09</v>
      </c>
      <c r="K59" s="7">
        <v>65.790000000000006</v>
      </c>
      <c r="M59" s="7">
        <v>224.91842000000003</v>
      </c>
      <c r="N59" s="7">
        <v>185.55274</v>
      </c>
      <c r="O59" s="7">
        <v>205.23558</v>
      </c>
      <c r="Q59" s="33">
        <v>3418.56</v>
      </c>
      <c r="R59" s="33">
        <v>2693.31</v>
      </c>
      <c r="S59" s="33">
        <v>3055.93</v>
      </c>
    </row>
    <row r="60" spans="1:19" x14ac:dyDescent="0.2">
      <c r="A60" s="39">
        <v>40</v>
      </c>
      <c r="B60" s="6" t="s">
        <v>47</v>
      </c>
      <c r="C60" s="6">
        <v>4</v>
      </c>
      <c r="D60" s="6">
        <v>0</v>
      </c>
      <c r="E60" s="6">
        <v>25</v>
      </c>
      <c r="F60" s="23">
        <f t="shared" si="2"/>
        <v>29</v>
      </c>
      <c r="H60" s="7">
        <v>57.5</v>
      </c>
      <c r="I60" s="7">
        <v>0</v>
      </c>
      <c r="J60" s="7">
        <v>61.25</v>
      </c>
      <c r="K60" s="7">
        <v>60.62</v>
      </c>
      <c r="M60" s="7">
        <v>205.75</v>
      </c>
      <c r="N60" s="7">
        <v>185.63157999999999</v>
      </c>
      <c r="O60" s="7">
        <v>189.13043999999999</v>
      </c>
      <c r="Q60" s="33">
        <v>3605.12</v>
      </c>
      <c r="R60" s="33">
        <v>3145.52</v>
      </c>
      <c r="S60" s="33">
        <v>3225.45</v>
      </c>
    </row>
    <row r="61" spans="1:19" x14ac:dyDescent="0.2">
      <c r="A61" s="39">
        <v>41</v>
      </c>
      <c r="B61" s="6" t="s">
        <v>48</v>
      </c>
      <c r="C61" s="6">
        <v>0</v>
      </c>
      <c r="D61" s="6">
        <v>1</v>
      </c>
      <c r="E61" s="6">
        <v>21</v>
      </c>
      <c r="F61" s="23">
        <f t="shared" si="2"/>
        <v>22</v>
      </c>
      <c r="H61" s="7">
        <v>0</v>
      </c>
      <c r="I61" s="7">
        <v>0</v>
      </c>
      <c r="J61" s="7">
        <v>64.37</v>
      </c>
      <c r="K61" s="7">
        <v>64.37</v>
      </c>
      <c r="M61" s="21">
        <v>0</v>
      </c>
      <c r="N61" s="21">
        <v>274.38893999999999</v>
      </c>
      <c r="O61" s="21">
        <v>274.38893999999999</v>
      </c>
      <c r="P61" s="21"/>
      <c r="Q61" s="36">
        <v>0</v>
      </c>
      <c r="R61" s="36">
        <v>4383.13</v>
      </c>
      <c r="S61" s="33">
        <v>4383.13</v>
      </c>
    </row>
    <row r="62" spans="1:19" x14ac:dyDescent="0.2">
      <c r="A62" s="39">
        <v>42</v>
      </c>
      <c r="B62" s="6" t="s">
        <v>49</v>
      </c>
      <c r="C62" s="6">
        <v>0</v>
      </c>
      <c r="D62" s="6">
        <v>0</v>
      </c>
      <c r="E62" s="6">
        <v>0</v>
      </c>
      <c r="F62" s="23">
        <f t="shared" si="2"/>
        <v>0</v>
      </c>
      <c r="H62" s="7">
        <v>0</v>
      </c>
      <c r="I62" s="7">
        <v>0</v>
      </c>
      <c r="J62" s="7">
        <v>0</v>
      </c>
      <c r="K62" s="7">
        <v>0</v>
      </c>
      <c r="M62" s="7">
        <v>0</v>
      </c>
      <c r="N62" s="7">
        <v>0</v>
      </c>
      <c r="O62" s="7">
        <v>0</v>
      </c>
      <c r="Q62" s="33">
        <v>0</v>
      </c>
      <c r="R62" s="33">
        <v>0</v>
      </c>
      <c r="S62" s="33">
        <v>0</v>
      </c>
    </row>
    <row r="63" spans="1:19" x14ac:dyDescent="0.2">
      <c r="A63" s="39">
        <v>43</v>
      </c>
      <c r="B63" s="6" t="s">
        <v>50</v>
      </c>
      <c r="C63" s="6">
        <v>24</v>
      </c>
      <c r="D63" s="6">
        <v>2</v>
      </c>
      <c r="E63" s="6">
        <v>135</v>
      </c>
      <c r="F63" s="23">
        <f t="shared" si="2"/>
        <v>161</v>
      </c>
      <c r="H63" s="7">
        <v>78.290000000000006</v>
      </c>
      <c r="I63" s="7">
        <v>60.5</v>
      </c>
      <c r="J63" s="7">
        <v>75.67</v>
      </c>
      <c r="K63" s="7">
        <v>75.84</v>
      </c>
      <c r="M63" s="7">
        <v>303.48709000000002</v>
      </c>
      <c r="N63" s="7">
        <v>225.29330999999999</v>
      </c>
      <c r="O63" s="7">
        <v>239.57217</v>
      </c>
      <c r="Q63" s="33">
        <v>3692.39</v>
      </c>
      <c r="R63" s="33">
        <v>3179.09</v>
      </c>
      <c r="S63" s="33">
        <v>3272.82</v>
      </c>
    </row>
    <row r="64" spans="1:19" x14ac:dyDescent="0.2">
      <c r="A64" s="39">
        <v>44</v>
      </c>
      <c r="B64" s="6" t="s">
        <v>51</v>
      </c>
      <c r="C64" s="6">
        <v>1</v>
      </c>
      <c r="D64" s="6">
        <v>0</v>
      </c>
      <c r="E64" s="6">
        <v>134</v>
      </c>
      <c r="F64" s="23">
        <f t="shared" si="2"/>
        <v>135</v>
      </c>
      <c r="H64" s="7">
        <v>122</v>
      </c>
      <c r="I64" s="7">
        <v>0</v>
      </c>
      <c r="J64" s="7">
        <v>72.11</v>
      </c>
      <c r="K64" s="7">
        <v>72.5</v>
      </c>
      <c r="M64" s="7">
        <v>0</v>
      </c>
      <c r="N64" s="7">
        <v>230.96097</v>
      </c>
      <c r="O64" s="7">
        <v>230.55135999999999</v>
      </c>
      <c r="Q64" s="7">
        <v>0</v>
      </c>
      <c r="R64" s="33">
        <v>3143.27</v>
      </c>
      <c r="S64" s="33">
        <v>3127.41</v>
      </c>
    </row>
    <row r="65" spans="1:19" x14ac:dyDescent="0.2">
      <c r="A65" s="39">
        <v>45</v>
      </c>
      <c r="B65" s="6" t="s">
        <v>52</v>
      </c>
      <c r="C65" s="6">
        <v>7</v>
      </c>
      <c r="D65" s="6">
        <v>0</v>
      </c>
      <c r="E65" s="6">
        <v>119</v>
      </c>
      <c r="F65" s="23">
        <f t="shared" si="2"/>
        <v>126</v>
      </c>
      <c r="H65" s="7">
        <v>60.33</v>
      </c>
      <c r="I65" s="7">
        <v>0</v>
      </c>
      <c r="J65" s="7">
        <v>65.55</v>
      </c>
      <c r="K65" s="7">
        <v>65.400000000000006</v>
      </c>
      <c r="M65" s="7">
        <v>128.33332999999999</v>
      </c>
      <c r="N65" s="7">
        <v>190.79595</v>
      </c>
      <c r="O65" s="7">
        <v>186.11125000000001</v>
      </c>
      <c r="Q65" s="33">
        <v>2155.96</v>
      </c>
      <c r="R65" s="33">
        <v>2734.5</v>
      </c>
      <c r="S65" s="33">
        <v>2691.11</v>
      </c>
    </row>
    <row r="66" spans="1:19" x14ac:dyDescent="0.2">
      <c r="A66" s="39">
        <v>46</v>
      </c>
      <c r="B66" s="6" t="s">
        <v>53</v>
      </c>
      <c r="C66" s="6">
        <v>1</v>
      </c>
      <c r="D66" s="6">
        <v>0</v>
      </c>
      <c r="E66" s="6">
        <v>131</v>
      </c>
      <c r="F66" s="23">
        <f t="shared" si="2"/>
        <v>132</v>
      </c>
      <c r="H66" s="7">
        <v>0</v>
      </c>
      <c r="I66" s="7">
        <v>0</v>
      </c>
      <c r="J66" s="7">
        <v>63.04</v>
      </c>
      <c r="K66" s="7">
        <v>63.04</v>
      </c>
      <c r="M66" s="7">
        <v>0</v>
      </c>
      <c r="N66" s="7">
        <v>161.29302999999999</v>
      </c>
      <c r="O66" s="7">
        <v>161.29302999999999</v>
      </c>
      <c r="Q66" s="7">
        <v>0</v>
      </c>
      <c r="R66" s="33">
        <v>2509.17</v>
      </c>
      <c r="S66" s="33">
        <v>2509.17</v>
      </c>
    </row>
    <row r="67" spans="1:19" x14ac:dyDescent="0.2">
      <c r="A67" s="39">
        <v>47</v>
      </c>
      <c r="B67" s="6" t="s">
        <v>54</v>
      </c>
      <c r="C67" s="6">
        <v>1</v>
      </c>
      <c r="D67" s="6">
        <v>0</v>
      </c>
      <c r="E67" s="6">
        <v>5</v>
      </c>
      <c r="F67" s="23">
        <f t="shared" si="2"/>
        <v>6</v>
      </c>
      <c r="H67" s="7">
        <v>57</v>
      </c>
      <c r="I67" s="7">
        <v>0</v>
      </c>
      <c r="J67" s="7">
        <v>71.8</v>
      </c>
      <c r="K67" s="7">
        <v>69.33</v>
      </c>
      <c r="M67" s="7">
        <v>0</v>
      </c>
      <c r="N67" s="7">
        <v>215</v>
      </c>
      <c r="O67" s="7">
        <v>317.5</v>
      </c>
      <c r="Q67" s="7">
        <v>0</v>
      </c>
      <c r="R67" s="33">
        <v>2905.41</v>
      </c>
      <c r="S67" s="33">
        <v>5136.91</v>
      </c>
    </row>
    <row r="68" spans="1:19" x14ac:dyDescent="0.2">
      <c r="A68" s="39">
        <v>48</v>
      </c>
      <c r="B68" s="6" t="s">
        <v>55</v>
      </c>
      <c r="C68" s="6">
        <v>0</v>
      </c>
      <c r="D68" s="6">
        <v>0</v>
      </c>
      <c r="E68" s="6">
        <v>75</v>
      </c>
      <c r="F68" s="23">
        <f t="shared" si="2"/>
        <v>75</v>
      </c>
      <c r="H68" s="7">
        <v>0</v>
      </c>
      <c r="I68" s="7">
        <v>0</v>
      </c>
      <c r="J68" s="7">
        <v>74.430000000000007</v>
      </c>
      <c r="K68" s="7">
        <v>74.430000000000007</v>
      </c>
      <c r="M68" s="7">
        <v>0</v>
      </c>
      <c r="N68" s="7">
        <v>201.63461999999998</v>
      </c>
      <c r="O68" s="7">
        <v>201.63461999999998</v>
      </c>
      <c r="Q68" s="33">
        <v>0</v>
      </c>
      <c r="R68" s="33">
        <v>2585.67</v>
      </c>
      <c r="S68" s="33">
        <v>2585.67</v>
      </c>
    </row>
    <row r="69" spans="1:19" x14ac:dyDescent="0.2">
      <c r="A69" s="39">
        <v>49</v>
      </c>
      <c r="B69" s="6" t="s">
        <v>56</v>
      </c>
      <c r="C69" s="6">
        <v>0</v>
      </c>
      <c r="D69" s="6">
        <v>0</v>
      </c>
      <c r="E69" s="6">
        <v>39</v>
      </c>
      <c r="F69" s="23">
        <f t="shared" si="2"/>
        <v>39</v>
      </c>
      <c r="H69" s="7">
        <v>0</v>
      </c>
      <c r="I69" s="7">
        <v>0</v>
      </c>
      <c r="J69" s="7">
        <v>70.33</v>
      </c>
      <c r="K69" s="7">
        <v>70.33</v>
      </c>
      <c r="M69" s="7">
        <v>0</v>
      </c>
      <c r="N69" s="7">
        <v>209.43600000000001</v>
      </c>
      <c r="O69" s="7">
        <v>209.43600000000001</v>
      </c>
      <c r="Q69" s="33">
        <v>0</v>
      </c>
      <c r="R69" s="33">
        <v>2720.33</v>
      </c>
      <c r="S69" s="33">
        <v>2720.33</v>
      </c>
    </row>
    <row r="70" spans="1:19" x14ac:dyDescent="0.2">
      <c r="A70" s="39">
        <v>50</v>
      </c>
      <c r="B70" s="6" t="s">
        <v>57</v>
      </c>
      <c r="C70" s="6">
        <v>0</v>
      </c>
      <c r="D70" s="6">
        <v>0</v>
      </c>
      <c r="E70" s="6">
        <v>153</v>
      </c>
      <c r="F70" s="23">
        <f t="shared" si="2"/>
        <v>153</v>
      </c>
      <c r="H70" s="7">
        <v>0</v>
      </c>
      <c r="I70" s="7">
        <v>0</v>
      </c>
      <c r="J70" s="7">
        <v>56.07</v>
      </c>
      <c r="K70" s="7">
        <v>56.07</v>
      </c>
      <c r="M70" s="7">
        <v>0</v>
      </c>
      <c r="N70" s="7">
        <v>120.75385</v>
      </c>
      <c r="O70" s="7">
        <v>120.75385</v>
      </c>
      <c r="Q70" s="33">
        <v>0</v>
      </c>
      <c r="R70" s="33">
        <v>2238.5300000000002</v>
      </c>
      <c r="S70" s="33">
        <v>2238.5300000000002</v>
      </c>
    </row>
    <row r="71" spans="1:19" x14ac:dyDescent="0.2">
      <c r="A71" s="39">
        <v>51</v>
      </c>
      <c r="B71" s="6" t="s">
        <v>58</v>
      </c>
      <c r="C71" s="6">
        <v>3</v>
      </c>
      <c r="D71" s="6">
        <v>0</v>
      </c>
      <c r="E71" s="6">
        <v>130</v>
      </c>
      <c r="F71" s="23">
        <f t="shared" si="2"/>
        <v>133</v>
      </c>
      <c r="H71" s="7">
        <v>75.67</v>
      </c>
      <c r="I71" s="7">
        <v>0</v>
      </c>
      <c r="J71" s="7">
        <v>55.36</v>
      </c>
      <c r="K71" s="7">
        <v>55.89</v>
      </c>
      <c r="M71" s="7">
        <v>204.4</v>
      </c>
      <c r="N71" s="7">
        <v>144.64766</v>
      </c>
      <c r="O71" s="7">
        <v>149.76929000000001</v>
      </c>
      <c r="Q71" s="33">
        <v>2763.64</v>
      </c>
      <c r="R71" s="33">
        <v>2418.56</v>
      </c>
      <c r="S71" s="33">
        <v>2448.14</v>
      </c>
    </row>
    <row r="72" spans="1:19" x14ac:dyDescent="0.2">
      <c r="A72" s="39">
        <v>52</v>
      </c>
      <c r="B72" s="6" t="s">
        <v>59</v>
      </c>
      <c r="C72" s="6">
        <v>7</v>
      </c>
      <c r="D72" s="6">
        <v>0</v>
      </c>
      <c r="E72" s="6">
        <v>179</v>
      </c>
      <c r="F72" s="23">
        <f t="shared" si="2"/>
        <v>186</v>
      </c>
      <c r="H72" s="7">
        <v>115</v>
      </c>
      <c r="I72" s="7">
        <v>0</v>
      </c>
      <c r="J72" s="7">
        <v>59.77</v>
      </c>
      <c r="K72" s="7">
        <v>61.8</v>
      </c>
      <c r="M72" s="7">
        <v>214.25017000000003</v>
      </c>
      <c r="N72" s="7">
        <v>154.56235000000001</v>
      </c>
      <c r="O72" s="7">
        <v>160.73695000000001</v>
      </c>
      <c r="Q72" s="33">
        <v>1808.48</v>
      </c>
      <c r="R72" s="33">
        <v>2726.18</v>
      </c>
      <c r="S72" s="33">
        <v>2631.25</v>
      </c>
    </row>
    <row r="73" spans="1:19" x14ac:dyDescent="0.2">
      <c r="A73" s="39">
        <v>53</v>
      </c>
      <c r="B73" s="6" t="s">
        <v>60</v>
      </c>
      <c r="C73" s="6">
        <v>0</v>
      </c>
      <c r="D73" s="6">
        <v>0</v>
      </c>
      <c r="E73" s="6">
        <v>75</v>
      </c>
      <c r="F73" s="23">
        <f t="shared" si="2"/>
        <v>75</v>
      </c>
      <c r="H73" s="7">
        <v>0</v>
      </c>
      <c r="I73" s="7">
        <v>0</v>
      </c>
      <c r="J73" s="7">
        <v>59.78</v>
      </c>
      <c r="K73" s="7">
        <v>59.78</v>
      </c>
      <c r="M73" s="7">
        <v>0</v>
      </c>
      <c r="N73" s="7">
        <v>108.78485999999999</v>
      </c>
      <c r="O73" s="7">
        <v>108.78485999999999</v>
      </c>
      <c r="Q73" s="33">
        <v>0</v>
      </c>
      <c r="R73" s="33">
        <v>1955.71</v>
      </c>
      <c r="S73" s="33">
        <v>1955.71</v>
      </c>
    </row>
    <row r="74" spans="1:19" x14ac:dyDescent="0.2">
      <c r="A74" s="39">
        <v>54</v>
      </c>
      <c r="B74" s="6" t="s">
        <v>61</v>
      </c>
      <c r="C74" s="6">
        <v>0</v>
      </c>
      <c r="D74" s="6">
        <v>0</v>
      </c>
      <c r="E74" s="6">
        <v>11</v>
      </c>
      <c r="F74" s="23">
        <f t="shared" si="2"/>
        <v>11</v>
      </c>
      <c r="H74" s="7">
        <v>0</v>
      </c>
      <c r="I74" s="7">
        <v>0</v>
      </c>
      <c r="J74" s="7">
        <v>89.25</v>
      </c>
      <c r="K74" s="7">
        <v>89.25</v>
      </c>
      <c r="M74" s="7">
        <v>0</v>
      </c>
      <c r="N74" s="7">
        <v>164.49764999999999</v>
      </c>
      <c r="O74" s="7">
        <v>164.49764999999999</v>
      </c>
      <c r="Q74" s="33">
        <v>0</v>
      </c>
      <c r="R74" s="33">
        <v>1643.91</v>
      </c>
      <c r="S74" s="33">
        <v>1643.91</v>
      </c>
    </row>
    <row r="75" spans="1:19" x14ac:dyDescent="0.2">
      <c r="A75" s="39">
        <v>55</v>
      </c>
      <c r="B75" s="6" t="s">
        <v>62</v>
      </c>
      <c r="C75" s="6">
        <v>0</v>
      </c>
      <c r="D75" s="6">
        <v>0</v>
      </c>
      <c r="E75" s="6">
        <v>105</v>
      </c>
      <c r="F75" s="23">
        <f t="shared" si="2"/>
        <v>105</v>
      </c>
      <c r="H75" s="7">
        <v>0</v>
      </c>
      <c r="I75" s="7">
        <v>0</v>
      </c>
      <c r="J75" s="7">
        <v>59.35</v>
      </c>
      <c r="K75" s="7">
        <v>59.35</v>
      </c>
      <c r="M75" s="7">
        <v>0</v>
      </c>
      <c r="N75" s="7">
        <v>104.82142999999999</v>
      </c>
      <c r="O75" s="7">
        <v>104.82142999999999</v>
      </c>
      <c r="Q75" s="33">
        <v>0</v>
      </c>
      <c r="R75" s="33">
        <v>1794.54</v>
      </c>
      <c r="S75" s="33">
        <v>1794.54</v>
      </c>
    </row>
    <row r="76" spans="1:19" x14ac:dyDescent="0.2">
      <c r="A76" s="39">
        <v>56</v>
      </c>
      <c r="B76" s="6" t="s">
        <v>80</v>
      </c>
      <c r="C76" s="6">
        <v>0</v>
      </c>
      <c r="D76" s="6">
        <v>0</v>
      </c>
      <c r="E76" s="6">
        <v>6</v>
      </c>
      <c r="F76" s="23">
        <f t="shared" si="2"/>
        <v>6</v>
      </c>
      <c r="H76" s="7">
        <v>0</v>
      </c>
      <c r="I76" s="7">
        <v>0</v>
      </c>
      <c r="J76" s="7">
        <v>128.66999999999999</v>
      </c>
      <c r="K76" s="7">
        <v>128.66999999999999</v>
      </c>
      <c r="M76" s="7">
        <v>0</v>
      </c>
      <c r="N76" s="7">
        <v>126</v>
      </c>
      <c r="O76" s="7">
        <v>126</v>
      </c>
      <c r="Q76" s="33">
        <v>0</v>
      </c>
      <c r="R76" s="33">
        <v>1114.06</v>
      </c>
      <c r="S76" s="33">
        <v>1114.06</v>
      </c>
    </row>
    <row r="77" spans="1:19" x14ac:dyDescent="0.2">
      <c r="A77" s="39">
        <v>57</v>
      </c>
      <c r="B77" s="6" t="s">
        <v>63</v>
      </c>
      <c r="C77" s="6">
        <v>10</v>
      </c>
      <c r="D77" s="6">
        <v>0</v>
      </c>
      <c r="E77" s="6">
        <v>97</v>
      </c>
      <c r="F77" s="23">
        <f t="shared" si="2"/>
        <v>107</v>
      </c>
      <c r="H77" s="7">
        <v>57.9</v>
      </c>
      <c r="I77" s="7">
        <v>0</v>
      </c>
      <c r="J77" s="7">
        <v>62.77</v>
      </c>
      <c r="K77" s="7">
        <v>62.27</v>
      </c>
      <c r="M77" s="7">
        <v>207.54294000000002</v>
      </c>
      <c r="N77" s="7">
        <v>136.32469</v>
      </c>
      <c r="O77" s="7">
        <v>164.81198999999998</v>
      </c>
      <c r="Q77" s="33">
        <v>3620.73</v>
      </c>
      <c r="R77" s="33">
        <v>2066.92</v>
      </c>
      <c r="S77" s="33">
        <v>2688.44</v>
      </c>
    </row>
    <row r="78" spans="1:19" x14ac:dyDescent="0.2">
      <c r="A78" s="39">
        <v>58</v>
      </c>
      <c r="B78" s="6" t="s">
        <v>64</v>
      </c>
      <c r="C78" s="6">
        <v>0</v>
      </c>
      <c r="D78" s="6">
        <v>0</v>
      </c>
      <c r="E78" s="6">
        <v>19</v>
      </c>
      <c r="F78" s="23">
        <f t="shared" si="2"/>
        <v>19</v>
      </c>
      <c r="H78" s="7">
        <v>0</v>
      </c>
      <c r="I78" s="7">
        <v>0</v>
      </c>
      <c r="J78" s="7">
        <v>70.17</v>
      </c>
      <c r="K78" s="7">
        <v>70.17</v>
      </c>
      <c r="M78" s="7">
        <v>0</v>
      </c>
      <c r="N78" s="7">
        <v>0</v>
      </c>
      <c r="O78" s="7">
        <v>0</v>
      </c>
      <c r="Q78" s="33">
        <v>0</v>
      </c>
      <c r="R78" s="33">
        <v>0</v>
      </c>
      <c r="S78" s="33">
        <v>0</v>
      </c>
    </row>
    <row r="79" spans="1:19" x14ac:dyDescent="0.2">
      <c r="A79" s="39">
        <v>59</v>
      </c>
      <c r="B79" s="6" t="s">
        <v>65</v>
      </c>
      <c r="C79" s="6">
        <v>0</v>
      </c>
      <c r="D79" s="6">
        <v>4</v>
      </c>
      <c r="E79" s="6">
        <v>77</v>
      </c>
      <c r="F79" s="23">
        <f t="shared" si="2"/>
        <v>81</v>
      </c>
      <c r="H79" s="7">
        <v>0</v>
      </c>
      <c r="I79" s="7">
        <v>69.5</v>
      </c>
      <c r="J79" s="7">
        <v>67.2</v>
      </c>
      <c r="K79" s="7">
        <v>67.319999999999993</v>
      </c>
      <c r="M79" s="7">
        <v>0</v>
      </c>
      <c r="N79" s="7">
        <v>151.04194000000001</v>
      </c>
      <c r="O79" s="7">
        <v>151.04194000000001</v>
      </c>
      <c r="Q79" s="33">
        <v>0</v>
      </c>
      <c r="R79" s="33">
        <v>2246.8000000000002</v>
      </c>
      <c r="S79" s="33">
        <v>2246.8000000000002</v>
      </c>
    </row>
    <row r="80" spans="1:19" x14ac:dyDescent="0.2">
      <c r="A80" s="39">
        <v>60</v>
      </c>
      <c r="B80" s="6" t="s">
        <v>66</v>
      </c>
      <c r="C80" s="6">
        <v>18</v>
      </c>
      <c r="D80" s="6">
        <v>1</v>
      </c>
      <c r="E80" s="6">
        <v>312</v>
      </c>
      <c r="F80" s="23">
        <f t="shared" si="2"/>
        <v>331</v>
      </c>
      <c r="H80" s="7">
        <v>111.61</v>
      </c>
      <c r="I80" s="7">
        <v>114</v>
      </c>
      <c r="J80" s="7">
        <v>73.239999999999995</v>
      </c>
      <c r="K80" s="7">
        <v>75.650000000000006</v>
      </c>
      <c r="M80" s="7">
        <v>443.83191999999997</v>
      </c>
      <c r="N80" s="7">
        <v>278.64163000000002</v>
      </c>
      <c r="O80" s="7">
        <v>309.94084000000004</v>
      </c>
      <c r="Q80" s="33">
        <v>4061.2</v>
      </c>
      <c r="R80" s="33">
        <v>3518.81</v>
      </c>
      <c r="S80" s="33">
        <v>3621.58</v>
      </c>
    </row>
    <row r="81" spans="1:19" x14ac:dyDescent="0.2">
      <c r="A81" s="39">
        <v>61</v>
      </c>
      <c r="B81" s="6" t="s">
        <v>67</v>
      </c>
      <c r="C81" s="6">
        <v>2</v>
      </c>
      <c r="D81" s="6">
        <v>0</v>
      </c>
      <c r="E81" s="6">
        <v>169</v>
      </c>
      <c r="F81" s="23">
        <f t="shared" si="2"/>
        <v>171</v>
      </c>
      <c r="H81" s="7">
        <v>96</v>
      </c>
      <c r="I81" s="7">
        <v>0</v>
      </c>
      <c r="J81" s="7">
        <v>71.78</v>
      </c>
      <c r="K81" s="7">
        <v>72.08</v>
      </c>
      <c r="M81" s="7">
        <v>0</v>
      </c>
      <c r="N81" s="7">
        <v>270.87708000000003</v>
      </c>
      <c r="O81" s="7">
        <v>271.59242999999998</v>
      </c>
      <c r="Q81" s="7">
        <v>0</v>
      </c>
      <c r="R81" s="33">
        <v>3773.37</v>
      </c>
      <c r="S81" s="33">
        <v>3759.71</v>
      </c>
    </row>
    <row r="82" spans="1:19" x14ac:dyDescent="0.2">
      <c r="A82" s="39">
        <v>62</v>
      </c>
      <c r="B82" s="29" t="s">
        <v>68</v>
      </c>
      <c r="C82" s="29">
        <v>3</v>
      </c>
      <c r="D82" s="29">
        <v>0</v>
      </c>
      <c r="E82" s="29">
        <v>57</v>
      </c>
      <c r="F82" s="23">
        <f t="shared" si="2"/>
        <v>60</v>
      </c>
      <c r="G82" s="30"/>
      <c r="H82" s="31">
        <v>78</v>
      </c>
      <c r="I82" s="31">
        <v>0</v>
      </c>
      <c r="J82" s="31">
        <v>70.69</v>
      </c>
      <c r="K82" s="31">
        <v>71.069999999999993</v>
      </c>
      <c r="L82" s="31"/>
      <c r="M82" s="7">
        <v>368.66667000000001</v>
      </c>
      <c r="N82" s="7">
        <v>212.04003</v>
      </c>
      <c r="O82" s="7">
        <v>241.40751999999998</v>
      </c>
      <c r="P82" s="31"/>
      <c r="Q82" s="37">
        <v>4537.79</v>
      </c>
      <c r="R82" s="37">
        <v>3357.9</v>
      </c>
      <c r="S82" s="37">
        <v>3579.13</v>
      </c>
    </row>
    <row r="83" spans="1:19" x14ac:dyDescent="0.2">
      <c r="A83" s="39">
        <v>63</v>
      </c>
      <c r="B83" s="1" t="s">
        <v>69</v>
      </c>
      <c r="C83" s="6">
        <v>3</v>
      </c>
      <c r="D83" s="6">
        <v>0</v>
      </c>
      <c r="E83" s="6">
        <v>116</v>
      </c>
      <c r="F83" s="23">
        <f t="shared" si="2"/>
        <v>119</v>
      </c>
      <c r="H83" s="7">
        <v>0</v>
      </c>
      <c r="I83" s="7">
        <v>0</v>
      </c>
      <c r="J83" s="7">
        <v>73.89</v>
      </c>
      <c r="K83" s="7">
        <v>73.89</v>
      </c>
      <c r="M83" s="7">
        <v>0</v>
      </c>
      <c r="N83" s="7">
        <v>264.01678000000004</v>
      </c>
      <c r="O83" s="7">
        <v>264.01678000000004</v>
      </c>
      <c r="Q83" s="33">
        <v>0</v>
      </c>
      <c r="R83" s="33">
        <v>3369.32</v>
      </c>
      <c r="S83" s="33">
        <v>3369.32</v>
      </c>
    </row>
    <row r="84" spans="1:19" x14ac:dyDescent="0.2">
      <c r="A84" s="39">
        <v>64</v>
      </c>
      <c r="B84" s="1" t="s">
        <v>70</v>
      </c>
      <c r="C84" s="6">
        <v>4</v>
      </c>
      <c r="D84" s="6">
        <v>0</v>
      </c>
      <c r="E84" s="6">
        <v>275</v>
      </c>
      <c r="F84" s="23">
        <f t="shared" si="2"/>
        <v>279</v>
      </c>
      <c r="H84" s="7">
        <v>57.33</v>
      </c>
      <c r="I84" s="7">
        <v>0</v>
      </c>
      <c r="J84" s="7">
        <v>71.25</v>
      </c>
      <c r="K84" s="7">
        <v>71.08</v>
      </c>
      <c r="M84" s="7">
        <v>205.33332999999999</v>
      </c>
      <c r="N84" s="7">
        <v>280.66991999999999</v>
      </c>
      <c r="O84" s="7">
        <v>279.72821000000005</v>
      </c>
      <c r="Q84" s="33">
        <v>4025.21</v>
      </c>
      <c r="R84" s="33">
        <v>4004.88</v>
      </c>
      <c r="S84" s="33">
        <v>4005.13</v>
      </c>
    </row>
    <row r="85" spans="1:19" x14ac:dyDescent="0.2">
      <c r="A85" s="39">
        <v>65</v>
      </c>
      <c r="B85" s="1" t="s">
        <v>71</v>
      </c>
      <c r="C85" s="6">
        <v>17</v>
      </c>
      <c r="D85" s="6">
        <v>0</v>
      </c>
      <c r="E85" s="6">
        <v>124</v>
      </c>
      <c r="F85" s="23">
        <f t="shared" ref="F85:F93" si="3">SUM(C85:E85)</f>
        <v>141</v>
      </c>
      <c r="H85" s="7">
        <v>70.19</v>
      </c>
      <c r="I85" s="7">
        <v>0</v>
      </c>
      <c r="J85" s="7">
        <v>71.59</v>
      </c>
      <c r="K85" s="7">
        <v>71.41</v>
      </c>
      <c r="M85" s="7">
        <v>350.80313000000001</v>
      </c>
      <c r="N85" s="7">
        <v>231.33224999999999</v>
      </c>
      <c r="O85" s="7">
        <v>263.19115000000005</v>
      </c>
      <c r="Q85" s="33">
        <v>5105.5</v>
      </c>
      <c r="R85" s="33">
        <v>3293.63</v>
      </c>
      <c r="S85" s="33">
        <v>3776.8</v>
      </c>
    </row>
    <row r="86" spans="1:19" x14ac:dyDescent="0.2">
      <c r="A86" s="39">
        <v>66</v>
      </c>
      <c r="B86" s="1" t="s">
        <v>72</v>
      </c>
      <c r="C86" s="6">
        <v>41</v>
      </c>
      <c r="D86" s="6">
        <v>3</v>
      </c>
      <c r="E86" s="6">
        <v>85</v>
      </c>
      <c r="F86" s="23">
        <f t="shared" si="3"/>
        <v>129</v>
      </c>
      <c r="H86" s="7">
        <v>88.85</v>
      </c>
      <c r="I86" s="7">
        <v>60.67</v>
      </c>
      <c r="J86" s="7">
        <v>77.260000000000005</v>
      </c>
      <c r="K86" s="7">
        <v>80.62</v>
      </c>
      <c r="M86" s="7">
        <v>563.17004000000009</v>
      </c>
      <c r="N86" s="7">
        <v>344.2912</v>
      </c>
      <c r="O86" s="7">
        <v>423.16646000000003</v>
      </c>
      <c r="Q86" s="33">
        <v>6377.66</v>
      </c>
      <c r="R86" s="33">
        <v>4656.5200000000004</v>
      </c>
      <c r="S86" s="33">
        <v>5276.75</v>
      </c>
    </row>
    <row r="87" spans="1:19" x14ac:dyDescent="0.2">
      <c r="A87" s="39">
        <v>67</v>
      </c>
      <c r="B87" s="1" t="s">
        <v>73</v>
      </c>
      <c r="C87" s="6">
        <v>2</v>
      </c>
      <c r="D87" s="6">
        <v>0</v>
      </c>
      <c r="E87" s="6">
        <v>57</v>
      </c>
      <c r="F87" s="23">
        <f t="shared" si="3"/>
        <v>59</v>
      </c>
      <c r="H87" s="7">
        <v>110</v>
      </c>
      <c r="I87" s="7">
        <v>0</v>
      </c>
      <c r="J87" s="7">
        <v>80.27</v>
      </c>
      <c r="K87" s="7">
        <v>80.790000000000006</v>
      </c>
      <c r="M87" s="7">
        <v>0</v>
      </c>
      <c r="N87" s="7">
        <v>449.63425000000001</v>
      </c>
      <c r="O87" s="7">
        <v>454.81610999999998</v>
      </c>
      <c r="Q87" s="7">
        <v>0</v>
      </c>
      <c r="R87" s="33">
        <v>5735.57</v>
      </c>
      <c r="S87" s="33">
        <v>5753.77</v>
      </c>
    </row>
    <row r="88" spans="1:19" x14ac:dyDescent="0.2">
      <c r="A88" s="39">
        <v>68</v>
      </c>
      <c r="B88" s="1" t="s">
        <v>74</v>
      </c>
      <c r="C88" s="6">
        <v>54</v>
      </c>
      <c r="D88" s="6">
        <v>2</v>
      </c>
      <c r="E88" s="6">
        <v>203</v>
      </c>
      <c r="F88" s="23">
        <f t="shared" si="3"/>
        <v>259</v>
      </c>
      <c r="H88" s="7">
        <v>71.62</v>
      </c>
      <c r="I88" s="7">
        <v>79</v>
      </c>
      <c r="J88" s="7">
        <v>71.95</v>
      </c>
      <c r="K88" s="7">
        <v>71.91</v>
      </c>
      <c r="M88" s="21">
        <v>462.47032999999999</v>
      </c>
      <c r="N88" s="21">
        <v>359.05896000000001</v>
      </c>
      <c r="O88" s="21">
        <v>381.80088000000001</v>
      </c>
      <c r="P88" s="21"/>
      <c r="Q88" s="36">
        <v>6570.93</v>
      </c>
      <c r="R88" s="36">
        <v>4931.79</v>
      </c>
      <c r="S88" s="33">
        <v>5292.26</v>
      </c>
    </row>
    <row r="89" spans="1:19" x14ac:dyDescent="0.2">
      <c r="A89" s="39">
        <v>69</v>
      </c>
      <c r="B89" s="1" t="s">
        <v>75</v>
      </c>
      <c r="C89" s="6">
        <v>10</v>
      </c>
      <c r="D89" s="6">
        <v>3</v>
      </c>
      <c r="E89" s="6">
        <v>81</v>
      </c>
      <c r="F89" s="23">
        <f t="shared" si="3"/>
        <v>94</v>
      </c>
      <c r="H89" s="7">
        <v>66.8</v>
      </c>
      <c r="I89" s="7">
        <v>73</v>
      </c>
      <c r="J89" s="7">
        <v>92.66</v>
      </c>
      <c r="K89" s="7">
        <v>88.97</v>
      </c>
      <c r="M89" s="7">
        <v>305.39999999999998</v>
      </c>
      <c r="N89" s="7">
        <v>528.38946999999996</v>
      </c>
      <c r="O89" s="7">
        <v>499.80108000000001</v>
      </c>
      <c r="Q89" s="33">
        <v>4574.45</v>
      </c>
      <c r="R89" s="33">
        <v>5537.54</v>
      </c>
      <c r="S89" s="33">
        <v>5414.07</v>
      </c>
    </row>
    <row r="90" spans="1:19" x14ac:dyDescent="0.2">
      <c r="A90" s="39">
        <v>70</v>
      </c>
      <c r="B90" s="1" t="s">
        <v>76</v>
      </c>
      <c r="C90" s="6">
        <v>29</v>
      </c>
      <c r="D90" s="6">
        <v>1</v>
      </c>
      <c r="E90" s="6">
        <v>189</v>
      </c>
      <c r="F90" s="23">
        <f t="shared" si="3"/>
        <v>219</v>
      </c>
      <c r="H90" s="7">
        <v>73.11</v>
      </c>
      <c r="I90" s="7">
        <v>62</v>
      </c>
      <c r="J90" s="7">
        <v>61.51</v>
      </c>
      <c r="K90" s="7">
        <v>63.16</v>
      </c>
      <c r="M90" s="7">
        <v>318.88571000000002</v>
      </c>
      <c r="N90" s="7">
        <v>169.76382999999998</v>
      </c>
      <c r="O90" s="7">
        <v>193.76045000000002</v>
      </c>
      <c r="Q90" s="33">
        <v>4048.3</v>
      </c>
      <c r="R90" s="33">
        <v>2462.7399999999998</v>
      </c>
      <c r="S90" s="33">
        <v>2717.89</v>
      </c>
    </row>
    <row r="91" spans="1:19" x14ac:dyDescent="0.2">
      <c r="A91" s="39">
        <v>71</v>
      </c>
      <c r="B91" s="1" t="s">
        <v>77</v>
      </c>
      <c r="C91" s="6">
        <v>19</v>
      </c>
      <c r="D91" s="6">
        <v>14</v>
      </c>
      <c r="E91" s="6">
        <v>87</v>
      </c>
      <c r="F91" s="23">
        <f t="shared" si="3"/>
        <v>120</v>
      </c>
      <c r="H91" s="7">
        <v>65.72</v>
      </c>
      <c r="I91" s="7">
        <v>73.38</v>
      </c>
      <c r="J91" s="7">
        <v>75.95</v>
      </c>
      <c r="K91" s="7">
        <v>73.92</v>
      </c>
      <c r="M91" s="7">
        <v>220.70611</v>
      </c>
      <c r="N91" s="7">
        <v>286.56781000000001</v>
      </c>
      <c r="O91" s="7">
        <v>271.17157000000003</v>
      </c>
      <c r="Q91" s="33">
        <v>3413.53</v>
      </c>
      <c r="R91" s="33">
        <v>3733.44</v>
      </c>
      <c r="S91" s="33">
        <v>3658.66</v>
      </c>
    </row>
    <row r="92" spans="1:19" x14ac:dyDescent="0.2">
      <c r="A92" s="39">
        <v>72</v>
      </c>
      <c r="B92" s="1" t="s">
        <v>78</v>
      </c>
      <c r="C92" s="6">
        <v>0</v>
      </c>
      <c r="D92" s="6">
        <v>0</v>
      </c>
      <c r="E92" s="6">
        <v>163</v>
      </c>
      <c r="F92" s="23">
        <f t="shared" si="3"/>
        <v>163</v>
      </c>
      <c r="H92" s="7">
        <v>0</v>
      </c>
      <c r="I92" s="7">
        <v>0</v>
      </c>
      <c r="J92" s="7">
        <v>70.44</v>
      </c>
      <c r="K92" s="7">
        <v>70.44</v>
      </c>
      <c r="M92" s="7">
        <v>0</v>
      </c>
      <c r="N92" s="7">
        <v>212.26110999999997</v>
      </c>
      <c r="O92" s="7">
        <v>212.26110999999997</v>
      </c>
      <c r="Q92" s="33">
        <v>0</v>
      </c>
      <c r="R92" s="33">
        <v>2985.87</v>
      </c>
      <c r="S92" s="33">
        <v>2985.87</v>
      </c>
    </row>
    <row r="93" spans="1:19" x14ac:dyDescent="0.2">
      <c r="A93" s="40">
        <v>73</v>
      </c>
      <c r="B93" s="16" t="s">
        <v>79</v>
      </c>
      <c r="C93" s="18">
        <v>0</v>
      </c>
      <c r="D93" s="18">
        <v>0</v>
      </c>
      <c r="E93" s="18">
        <v>188</v>
      </c>
      <c r="F93" s="32">
        <f t="shared" si="3"/>
        <v>188</v>
      </c>
      <c r="G93" s="16"/>
      <c r="H93" s="17">
        <v>0</v>
      </c>
      <c r="I93" s="17">
        <v>0</v>
      </c>
      <c r="J93" s="17">
        <v>71.38</v>
      </c>
      <c r="K93" s="17">
        <v>71.38</v>
      </c>
      <c r="L93" s="17"/>
      <c r="M93" s="17">
        <v>0</v>
      </c>
      <c r="N93" s="17">
        <v>164.32028</v>
      </c>
      <c r="O93" s="17">
        <v>164.32028</v>
      </c>
      <c r="P93" s="17"/>
      <c r="Q93" s="38">
        <v>0</v>
      </c>
      <c r="R93" s="38">
        <v>2337.88</v>
      </c>
      <c r="S93" s="38">
        <v>2337.88</v>
      </c>
    </row>
    <row r="95" spans="1:19" x14ac:dyDescent="0.2">
      <c r="B95" s="22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99</v>
      </c>
    </row>
    <row r="3" spans="1:19" x14ac:dyDescent="0.2">
      <c r="A3" s="1" t="s">
        <v>98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19" t="s">
        <v>96</v>
      </c>
      <c r="C6" s="6">
        <v>684</v>
      </c>
      <c r="D6" s="6">
        <v>36</v>
      </c>
      <c r="E6" s="6">
        <v>7475</v>
      </c>
      <c r="F6" s="6">
        <f t="shared" ref="F6" si="0">SUM(C6:E6)</f>
        <v>8195</v>
      </c>
      <c r="G6" s="1"/>
      <c r="H6" s="7">
        <v>85.18</v>
      </c>
      <c r="I6" s="7">
        <v>74.73</v>
      </c>
      <c r="J6" s="7">
        <v>78.180000000000007</v>
      </c>
      <c r="K6" s="7">
        <v>78.739999999999995</v>
      </c>
      <c r="L6" s="1"/>
      <c r="M6" s="7">
        <v>422.12709000000001</v>
      </c>
      <c r="N6" s="7">
        <v>353.69865999999996</v>
      </c>
      <c r="O6" s="7">
        <v>360.67088000000001</v>
      </c>
      <c r="P6" s="1"/>
      <c r="Q6" s="33">
        <v>4794.1899999999996</v>
      </c>
      <c r="R6" s="33">
        <v>4212.37</v>
      </c>
      <c r="S6" s="33">
        <v>4271.6499999999996</v>
      </c>
    </row>
    <row r="7" spans="1:19" s="3" customFormat="1" x14ac:dyDescent="0.2">
      <c r="B7" s="24"/>
      <c r="C7" s="23"/>
      <c r="D7" s="23"/>
      <c r="E7" s="23"/>
      <c r="F7" s="23"/>
      <c r="G7" s="24"/>
      <c r="H7" s="25"/>
      <c r="I7" s="25"/>
      <c r="J7" s="25"/>
      <c r="K7" s="25"/>
      <c r="L7" s="26"/>
      <c r="M7" s="25"/>
      <c r="N7" s="25"/>
      <c r="O7" s="25"/>
      <c r="P7" s="26"/>
      <c r="Q7" s="34"/>
      <c r="R7" s="34"/>
      <c r="S7" s="34"/>
    </row>
    <row r="8" spans="1:19" s="3" customFormat="1" x14ac:dyDescent="0.2">
      <c r="B8" s="15" t="s">
        <v>90</v>
      </c>
      <c r="C8" s="23"/>
      <c r="D8" s="23"/>
      <c r="E8" s="23"/>
      <c r="F8" s="23"/>
      <c r="G8" s="24"/>
      <c r="H8" s="25"/>
      <c r="I8" s="25"/>
      <c r="J8" s="25"/>
      <c r="K8" s="25"/>
      <c r="L8" s="26"/>
      <c r="M8" s="25"/>
      <c r="N8" s="25"/>
      <c r="O8" s="25"/>
      <c r="P8" s="26"/>
      <c r="Q8" s="34"/>
      <c r="R8" s="34"/>
      <c r="S8" s="34"/>
    </row>
    <row r="9" spans="1:19" s="3" customFormat="1" x14ac:dyDescent="0.2">
      <c r="A9" s="39">
        <v>1</v>
      </c>
      <c r="B9" s="24" t="s">
        <v>81</v>
      </c>
      <c r="C9" s="23">
        <v>38</v>
      </c>
      <c r="D9" s="23">
        <v>1</v>
      </c>
      <c r="E9" s="23">
        <v>731</v>
      </c>
      <c r="F9" s="23">
        <f t="shared" ref="F9:F18" si="1">SUM(C9:E9)</f>
        <v>770</v>
      </c>
      <c r="G9" s="24"/>
      <c r="H9" s="25">
        <v>62.83</v>
      </c>
      <c r="I9" s="25">
        <v>77</v>
      </c>
      <c r="J9" s="25">
        <v>65.66</v>
      </c>
      <c r="K9" s="25">
        <v>65.56</v>
      </c>
      <c r="L9" s="26"/>
      <c r="M9" s="25">
        <v>274.46071999999998</v>
      </c>
      <c r="N9" s="25">
        <v>267.11057</v>
      </c>
      <c r="O9" s="25">
        <v>267.42005</v>
      </c>
      <c r="P9" s="26"/>
      <c r="Q9" s="34">
        <v>4409.1899999999996</v>
      </c>
      <c r="R9" s="34">
        <v>4144.1099999999997</v>
      </c>
      <c r="S9" s="34">
        <v>4155.2700000000004</v>
      </c>
    </row>
    <row r="10" spans="1:19" s="3" customFormat="1" x14ac:dyDescent="0.2">
      <c r="A10" s="39">
        <v>2</v>
      </c>
      <c r="B10" s="24" t="s">
        <v>82</v>
      </c>
      <c r="C10" s="23">
        <v>138</v>
      </c>
      <c r="D10" s="23">
        <v>10</v>
      </c>
      <c r="E10" s="23">
        <v>1247</v>
      </c>
      <c r="F10" s="23">
        <f t="shared" si="1"/>
        <v>1395</v>
      </c>
      <c r="G10" s="24"/>
      <c r="H10" s="25">
        <v>90.73</v>
      </c>
      <c r="I10" s="25">
        <v>86.29</v>
      </c>
      <c r="J10" s="25">
        <v>88.77</v>
      </c>
      <c r="K10" s="25">
        <v>88.96</v>
      </c>
      <c r="L10" s="26"/>
      <c r="M10" s="25">
        <v>564.54274999999996</v>
      </c>
      <c r="N10" s="25">
        <v>435.43315999999999</v>
      </c>
      <c r="O10" s="25">
        <v>449.06382000000002</v>
      </c>
      <c r="P10" s="26"/>
      <c r="Q10" s="34">
        <v>6047.2</v>
      </c>
      <c r="R10" s="34">
        <v>4830.5600000000004</v>
      </c>
      <c r="S10" s="34">
        <v>4959.01</v>
      </c>
    </row>
    <row r="11" spans="1:19" s="3" customFormat="1" x14ac:dyDescent="0.2">
      <c r="A11" s="39">
        <v>3</v>
      </c>
      <c r="B11" s="24" t="s">
        <v>83</v>
      </c>
      <c r="C11" s="23">
        <v>111</v>
      </c>
      <c r="D11" s="23">
        <v>0</v>
      </c>
      <c r="E11" s="23">
        <v>867</v>
      </c>
      <c r="F11" s="23">
        <f t="shared" si="1"/>
        <v>978</v>
      </c>
      <c r="G11" s="24"/>
      <c r="H11" s="25">
        <v>81.28</v>
      </c>
      <c r="I11" s="25">
        <v>0</v>
      </c>
      <c r="J11" s="25">
        <v>66.78</v>
      </c>
      <c r="K11" s="25">
        <v>68.400000000000006</v>
      </c>
      <c r="L11" s="26"/>
      <c r="M11" s="25">
        <v>313.22390999999999</v>
      </c>
      <c r="N11" s="25">
        <v>244.08552</v>
      </c>
      <c r="O11" s="25">
        <v>255.31005999999999</v>
      </c>
      <c r="P11" s="26"/>
      <c r="Q11" s="34">
        <v>3764.07</v>
      </c>
      <c r="R11" s="34">
        <v>3750.47</v>
      </c>
      <c r="S11" s="34">
        <v>3752.68</v>
      </c>
    </row>
    <row r="12" spans="1:19" s="3" customFormat="1" x14ac:dyDescent="0.2">
      <c r="A12" s="39">
        <v>4</v>
      </c>
      <c r="B12" s="24" t="s">
        <v>84</v>
      </c>
      <c r="C12" s="23">
        <v>14</v>
      </c>
      <c r="D12" s="23">
        <v>0</v>
      </c>
      <c r="E12" s="23">
        <v>322</v>
      </c>
      <c r="F12" s="23">
        <f t="shared" si="1"/>
        <v>336</v>
      </c>
      <c r="G12" s="24"/>
      <c r="H12" s="25">
        <v>106.31</v>
      </c>
      <c r="I12" s="25">
        <v>0</v>
      </c>
      <c r="J12" s="25">
        <v>95.11</v>
      </c>
      <c r="K12" s="25">
        <v>95.62</v>
      </c>
      <c r="L12" s="26"/>
      <c r="M12" s="27">
        <v>577.77846</v>
      </c>
      <c r="N12" s="27">
        <v>500.91437000000002</v>
      </c>
      <c r="O12" s="27">
        <v>505.06056999999998</v>
      </c>
      <c r="P12" s="28"/>
      <c r="Q12" s="35">
        <v>5294.38</v>
      </c>
      <c r="R12" s="35">
        <v>4912.71</v>
      </c>
      <c r="S12" s="35">
        <v>4933.3</v>
      </c>
    </row>
    <row r="13" spans="1:19" s="3" customFormat="1" x14ac:dyDescent="0.2">
      <c r="A13" s="39">
        <v>5</v>
      </c>
      <c r="B13" s="24" t="s">
        <v>85</v>
      </c>
      <c r="C13" s="23">
        <v>58</v>
      </c>
      <c r="D13" s="23">
        <v>1</v>
      </c>
      <c r="E13" s="23">
        <v>560</v>
      </c>
      <c r="F13" s="23">
        <f t="shared" si="1"/>
        <v>619</v>
      </c>
      <c r="G13" s="24"/>
      <c r="H13" s="25">
        <v>128.02000000000001</v>
      </c>
      <c r="I13" s="25">
        <v>72</v>
      </c>
      <c r="J13" s="25">
        <v>129.08000000000001</v>
      </c>
      <c r="K13" s="25">
        <v>128.87</v>
      </c>
      <c r="L13" s="26"/>
      <c r="M13" s="27">
        <v>772.30310999999995</v>
      </c>
      <c r="N13" s="27">
        <v>742.46544999999992</v>
      </c>
      <c r="O13" s="27">
        <v>745.51702999999998</v>
      </c>
      <c r="P13" s="28"/>
      <c r="Q13" s="35">
        <v>6292.49</v>
      </c>
      <c r="R13" s="35">
        <v>5736.79</v>
      </c>
      <c r="S13" s="35">
        <v>5793.62</v>
      </c>
    </row>
    <row r="14" spans="1:19" s="3" customFormat="1" x14ac:dyDescent="0.2">
      <c r="A14" s="39">
        <v>6</v>
      </c>
      <c r="B14" s="24" t="s">
        <v>86</v>
      </c>
      <c r="C14" s="23">
        <v>46</v>
      </c>
      <c r="D14" s="23">
        <v>1</v>
      </c>
      <c r="E14" s="23">
        <v>662</v>
      </c>
      <c r="F14" s="23">
        <f t="shared" si="1"/>
        <v>709</v>
      </c>
      <c r="G14" s="24"/>
      <c r="H14" s="25">
        <v>85.62</v>
      </c>
      <c r="I14" s="25">
        <v>0</v>
      </c>
      <c r="J14" s="25">
        <v>79.17</v>
      </c>
      <c r="K14" s="25">
        <v>79.58</v>
      </c>
      <c r="L14" s="26"/>
      <c r="M14" s="27">
        <v>400.89158000000003</v>
      </c>
      <c r="N14" s="27">
        <v>346.75771000000003</v>
      </c>
      <c r="O14" s="27">
        <v>350.31795</v>
      </c>
      <c r="P14" s="28"/>
      <c r="Q14" s="35">
        <v>4716.99</v>
      </c>
      <c r="R14" s="35">
        <v>4486.8</v>
      </c>
      <c r="S14" s="35">
        <v>4501.9399999999996</v>
      </c>
    </row>
    <row r="15" spans="1:19" s="3" customFormat="1" x14ac:dyDescent="0.2">
      <c r="A15" s="39">
        <v>7</v>
      </c>
      <c r="B15" s="24" t="s">
        <v>87</v>
      </c>
      <c r="C15" s="23">
        <v>103</v>
      </c>
      <c r="D15" s="23">
        <v>6</v>
      </c>
      <c r="E15" s="23">
        <v>626</v>
      </c>
      <c r="F15" s="23">
        <f t="shared" si="1"/>
        <v>735</v>
      </c>
      <c r="G15" s="24"/>
      <c r="H15" s="25">
        <v>68.290000000000006</v>
      </c>
      <c r="I15" s="25">
        <v>62.4</v>
      </c>
      <c r="J15" s="25">
        <v>70.959999999999994</v>
      </c>
      <c r="K15" s="25">
        <v>70.52</v>
      </c>
      <c r="L15" s="26"/>
      <c r="M15" s="27">
        <v>212.28355999999999</v>
      </c>
      <c r="N15" s="27">
        <v>229.05126000000001</v>
      </c>
      <c r="O15" s="27">
        <v>226.59678</v>
      </c>
      <c r="P15" s="28"/>
      <c r="Q15" s="35">
        <v>3089.56</v>
      </c>
      <c r="R15" s="35">
        <v>3308.39</v>
      </c>
      <c r="S15" s="35">
        <v>3276.36</v>
      </c>
    </row>
    <row r="16" spans="1:19" s="3" customFormat="1" x14ac:dyDescent="0.2">
      <c r="A16" s="39">
        <v>8</v>
      </c>
      <c r="B16" s="24" t="s">
        <v>88</v>
      </c>
      <c r="C16" s="23">
        <v>16</v>
      </c>
      <c r="D16" s="23">
        <v>0</v>
      </c>
      <c r="E16" s="23">
        <v>828</v>
      </c>
      <c r="F16" s="23">
        <f t="shared" si="1"/>
        <v>844</v>
      </c>
      <c r="G16" s="24"/>
      <c r="H16" s="25">
        <v>94.3</v>
      </c>
      <c r="I16" s="25">
        <v>0</v>
      </c>
      <c r="J16" s="25">
        <v>62.46</v>
      </c>
      <c r="K16" s="25">
        <v>62.9</v>
      </c>
      <c r="L16" s="26"/>
      <c r="M16" s="27">
        <v>215.17010000000002</v>
      </c>
      <c r="N16" s="27">
        <v>165.97056000000001</v>
      </c>
      <c r="O16" s="27">
        <v>167.72144</v>
      </c>
      <c r="P16" s="28"/>
      <c r="Q16" s="35">
        <v>2529.42</v>
      </c>
      <c r="R16" s="35">
        <v>2536.0700000000002</v>
      </c>
      <c r="S16" s="35">
        <v>2535.83</v>
      </c>
    </row>
    <row r="17" spans="1:19" s="3" customFormat="1" x14ac:dyDescent="0.2">
      <c r="A17" s="39">
        <v>9</v>
      </c>
      <c r="B17" s="24" t="s">
        <v>66</v>
      </c>
      <c r="C17" s="23">
        <v>21</v>
      </c>
      <c r="D17" s="23">
        <v>1</v>
      </c>
      <c r="E17" s="23">
        <v>591</v>
      </c>
      <c r="F17" s="23">
        <f t="shared" si="1"/>
        <v>613</v>
      </c>
      <c r="G17" s="24"/>
      <c r="H17" s="25">
        <v>102.27</v>
      </c>
      <c r="I17" s="25">
        <v>114</v>
      </c>
      <c r="J17" s="25">
        <v>70.67</v>
      </c>
      <c r="K17" s="25">
        <v>71.760000000000005</v>
      </c>
      <c r="L17" s="26"/>
      <c r="M17" s="27">
        <v>427.53341999999998</v>
      </c>
      <c r="N17" s="27">
        <v>217.39634000000001</v>
      </c>
      <c r="O17" s="27">
        <v>233.22257000000002</v>
      </c>
      <c r="P17" s="28"/>
      <c r="Q17" s="35">
        <v>4243.88</v>
      </c>
      <c r="R17" s="35">
        <v>2981.83</v>
      </c>
      <c r="S17" s="35">
        <v>3076.88</v>
      </c>
    </row>
    <row r="18" spans="1:19" s="3" customFormat="1" x14ac:dyDescent="0.2">
      <c r="A18" s="39">
        <v>10</v>
      </c>
      <c r="B18" s="24" t="s">
        <v>89</v>
      </c>
      <c r="C18" s="23">
        <v>119</v>
      </c>
      <c r="D18" s="23">
        <v>16</v>
      </c>
      <c r="E18" s="23">
        <v>987</v>
      </c>
      <c r="F18" s="23">
        <f t="shared" si="1"/>
        <v>1122</v>
      </c>
      <c r="G18" s="24"/>
      <c r="H18" s="25">
        <v>74.73</v>
      </c>
      <c r="I18" s="25">
        <v>70.87</v>
      </c>
      <c r="J18" s="25">
        <v>71.650000000000006</v>
      </c>
      <c r="K18" s="25">
        <v>71.989999999999995</v>
      </c>
      <c r="L18" s="26"/>
      <c r="M18" s="27">
        <v>396.35156999999998</v>
      </c>
      <c r="N18" s="27">
        <v>285.37165999999996</v>
      </c>
      <c r="O18" s="27">
        <v>301.24617999999998</v>
      </c>
      <c r="P18" s="28"/>
      <c r="Q18" s="35">
        <v>5248.19</v>
      </c>
      <c r="R18" s="35">
        <v>3886.8</v>
      </c>
      <c r="S18" s="35">
        <v>4081.54</v>
      </c>
    </row>
    <row r="19" spans="1:19" s="3" customFormat="1" x14ac:dyDescent="0.2">
      <c r="A19" s="39"/>
      <c r="B19" s="24"/>
      <c r="C19" s="23"/>
      <c r="D19" s="23"/>
      <c r="E19" s="23"/>
      <c r="F19" s="23"/>
      <c r="G19" s="24"/>
      <c r="H19" s="25"/>
      <c r="I19" s="25"/>
      <c r="J19" s="25"/>
      <c r="K19" s="25"/>
      <c r="L19" s="26"/>
      <c r="M19" s="25"/>
      <c r="N19" s="25"/>
      <c r="O19" s="25"/>
      <c r="P19" s="26"/>
      <c r="Q19" s="34"/>
      <c r="R19" s="34"/>
      <c r="S19" s="34"/>
    </row>
    <row r="20" spans="1:19" s="3" customFormat="1" x14ac:dyDescent="0.2">
      <c r="A20" s="39"/>
      <c r="B20" s="15" t="s">
        <v>91</v>
      </c>
      <c r="C20" s="23"/>
      <c r="D20" s="23"/>
      <c r="E20" s="23"/>
      <c r="F20" s="23"/>
      <c r="G20" s="24"/>
      <c r="H20" s="25"/>
      <c r="I20" s="25"/>
      <c r="J20" s="25"/>
      <c r="K20" s="25"/>
      <c r="L20" s="26"/>
      <c r="M20" s="25"/>
      <c r="N20" s="25"/>
      <c r="O20" s="25"/>
      <c r="P20" s="26"/>
      <c r="Q20" s="34"/>
      <c r="R20" s="34"/>
      <c r="S20" s="34"/>
    </row>
    <row r="21" spans="1:19" x14ac:dyDescent="0.2">
      <c r="A21" s="39">
        <v>1</v>
      </c>
      <c r="B21" s="6" t="s">
        <v>8</v>
      </c>
      <c r="C21" s="6">
        <v>2</v>
      </c>
      <c r="D21" s="6">
        <v>1</v>
      </c>
      <c r="E21" s="6">
        <v>293</v>
      </c>
      <c r="F21" s="23">
        <f t="shared" ref="F21:F84" si="2">SUM(C21:E21)</f>
        <v>296</v>
      </c>
      <c r="H21" s="7">
        <v>90</v>
      </c>
      <c r="I21" s="7">
        <v>77</v>
      </c>
      <c r="J21" s="7">
        <v>62.81</v>
      </c>
      <c r="K21" s="7">
        <v>62.97</v>
      </c>
      <c r="M21" s="7">
        <v>0</v>
      </c>
      <c r="N21" s="7">
        <v>202.11026000000001</v>
      </c>
      <c r="O21" s="7">
        <v>202.11026000000001</v>
      </c>
      <c r="Q21" s="33">
        <v>0</v>
      </c>
      <c r="R21" s="33">
        <v>3243.73</v>
      </c>
      <c r="S21" s="33">
        <v>3243.73</v>
      </c>
    </row>
    <row r="22" spans="1:19" x14ac:dyDescent="0.2">
      <c r="A22" s="39">
        <v>2</v>
      </c>
      <c r="B22" s="6" t="s">
        <v>9</v>
      </c>
      <c r="C22" s="6">
        <v>13</v>
      </c>
      <c r="D22" s="6">
        <v>0</v>
      </c>
      <c r="E22" s="6">
        <v>119</v>
      </c>
      <c r="F22" s="23">
        <f t="shared" si="2"/>
        <v>132</v>
      </c>
      <c r="H22" s="7">
        <v>70.2</v>
      </c>
      <c r="I22" s="7">
        <v>0</v>
      </c>
      <c r="J22" s="7">
        <v>81.86</v>
      </c>
      <c r="K22" s="7">
        <v>80.88</v>
      </c>
      <c r="M22" s="7">
        <v>323.35000000000002</v>
      </c>
      <c r="N22" s="7">
        <v>369.64524</v>
      </c>
      <c r="O22" s="7">
        <v>365.72190999999998</v>
      </c>
      <c r="Q22" s="33">
        <v>4609.96</v>
      </c>
      <c r="R22" s="33">
        <v>4528.54</v>
      </c>
      <c r="S22" s="33">
        <v>4535.4399999999996</v>
      </c>
    </row>
    <row r="23" spans="1:19" x14ac:dyDescent="0.2">
      <c r="A23" s="39">
        <v>3</v>
      </c>
      <c r="B23" s="6" t="s">
        <v>10</v>
      </c>
      <c r="C23" s="6">
        <v>14</v>
      </c>
      <c r="D23" s="6">
        <v>0</v>
      </c>
      <c r="E23" s="6">
        <v>116</v>
      </c>
      <c r="F23" s="23">
        <f t="shared" si="2"/>
        <v>130</v>
      </c>
      <c r="H23" s="7">
        <v>45.58</v>
      </c>
      <c r="I23" s="7">
        <v>0</v>
      </c>
      <c r="J23" s="7">
        <v>45.69</v>
      </c>
      <c r="K23" s="7">
        <v>45.68</v>
      </c>
      <c r="M23" s="7">
        <v>185.36667</v>
      </c>
      <c r="N23" s="7">
        <v>226.42914000000002</v>
      </c>
      <c r="O23" s="7">
        <v>221.9496</v>
      </c>
      <c r="Q23" s="33">
        <v>4055.45</v>
      </c>
      <c r="R23" s="33">
        <v>5183.55</v>
      </c>
      <c r="S23" s="33">
        <v>5060.4799999999996</v>
      </c>
    </row>
    <row r="24" spans="1:19" x14ac:dyDescent="0.2">
      <c r="A24" s="39">
        <v>4</v>
      </c>
      <c r="B24" s="6" t="s">
        <v>11</v>
      </c>
      <c r="C24" s="6">
        <v>9</v>
      </c>
      <c r="D24" s="6">
        <v>0</v>
      </c>
      <c r="E24" s="6">
        <v>203</v>
      </c>
      <c r="F24" s="23">
        <f t="shared" si="2"/>
        <v>212</v>
      </c>
      <c r="H24" s="7">
        <v>80.5</v>
      </c>
      <c r="I24" s="7">
        <v>0</v>
      </c>
      <c r="J24" s="7">
        <v>71.06</v>
      </c>
      <c r="K24" s="7">
        <v>71.36</v>
      </c>
      <c r="M24" s="7">
        <v>371.16667000000001</v>
      </c>
      <c r="N24" s="7">
        <v>320.3485</v>
      </c>
      <c r="O24" s="7">
        <v>322.01466999999997</v>
      </c>
      <c r="Q24" s="33">
        <v>4782.07</v>
      </c>
      <c r="R24" s="33">
        <v>4626.1099999999997</v>
      </c>
      <c r="S24" s="33">
        <v>4631.22</v>
      </c>
    </row>
    <row r="25" spans="1:19" x14ac:dyDescent="0.2">
      <c r="A25" s="39">
        <v>5</v>
      </c>
      <c r="B25" s="6" t="s">
        <v>12</v>
      </c>
      <c r="C25" s="6">
        <v>0</v>
      </c>
      <c r="D25" s="6">
        <v>1</v>
      </c>
      <c r="E25" s="6">
        <v>124</v>
      </c>
      <c r="F25" s="23">
        <f t="shared" si="2"/>
        <v>125</v>
      </c>
      <c r="H25" s="7">
        <v>0</v>
      </c>
      <c r="I25" s="7">
        <v>0</v>
      </c>
      <c r="J25" s="7">
        <v>81.11</v>
      </c>
      <c r="K25" s="7">
        <v>81.11</v>
      </c>
      <c r="M25" s="7">
        <v>0</v>
      </c>
      <c r="N25" s="7">
        <v>358.86838</v>
      </c>
      <c r="O25" s="7">
        <v>358.86838</v>
      </c>
      <c r="Q25" s="33">
        <v>0</v>
      </c>
      <c r="R25" s="33">
        <v>4531.53</v>
      </c>
      <c r="S25" s="33">
        <v>4531.53</v>
      </c>
    </row>
    <row r="26" spans="1:19" x14ac:dyDescent="0.2">
      <c r="A26" s="39">
        <v>6</v>
      </c>
      <c r="B26" s="6" t="s">
        <v>13</v>
      </c>
      <c r="C26" s="6">
        <v>7</v>
      </c>
      <c r="D26" s="6">
        <v>0</v>
      </c>
      <c r="E26" s="6">
        <v>241</v>
      </c>
      <c r="F26" s="23">
        <f t="shared" si="2"/>
        <v>248</v>
      </c>
      <c r="H26" s="7">
        <v>72.430000000000007</v>
      </c>
      <c r="I26" s="7">
        <v>0</v>
      </c>
      <c r="J26" s="7">
        <v>73.41</v>
      </c>
      <c r="K26" s="7">
        <v>73.38</v>
      </c>
      <c r="M26" s="7">
        <v>241.39642999999998</v>
      </c>
      <c r="N26" s="7">
        <v>324.47708</v>
      </c>
      <c r="O26" s="7">
        <v>321.78465</v>
      </c>
      <c r="Q26" s="33">
        <v>3299.86</v>
      </c>
      <c r="R26" s="33">
        <v>4523.92</v>
      </c>
      <c r="S26" s="33">
        <v>4484.25</v>
      </c>
    </row>
    <row r="27" spans="1:19" x14ac:dyDescent="0.2">
      <c r="A27" s="39">
        <v>7</v>
      </c>
      <c r="B27" s="6" t="s">
        <v>14</v>
      </c>
      <c r="C27" s="6">
        <v>58</v>
      </c>
      <c r="D27" s="6">
        <v>0</v>
      </c>
      <c r="E27" s="6">
        <v>257</v>
      </c>
      <c r="F27" s="23">
        <f t="shared" si="2"/>
        <v>315</v>
      </c>
      <c r="H27" s="7">
        <v>105.98</v>
      </c>
      <c r="I27" s="7">
        <v>0</v>
      </c>
      <c r="J27" s="7">
        <v>115.04</v>
      </c>
      <c r="K27" s="7">
        <v>113.38</v>
      </c>
      <c r="M27" s="7">
        <v>893.6076700000001</v>
      </c>
      <c r="N27" s="7">
        <v>659.53135999999995</v>
      </c>
      <c r="O27" s="7">
        <v>702.56008999999995</v>
      </c>
      <c r="Q27" s="33">
        <v>8468.07</v>
      </c>
      <c r="R27" s="33">
        <v>5658.46</v>
      </c>
      <c r="S27" s="33">
        <v>6174.93</v>
      </c>
    </row>
    <row r="28" spans="1:19" x14ac:dyDescent="0.2">
      <c r="A28" s="39">
        <v>8</v>
      </c>
      <c r="B28" s="6" t="s">
        <v>15</v>
      </c>
      <c r="C28" s="6">
        <v>14</v>
      </c>
      <c r="D28" s="6">
        <v>0</v>
      </c>
      <c r="E28" s="6">
        <v>218</v>
      </c>
      <c r="F28" s="23">
        <f t="shared" si="2"/>
        <v>232</v>
      </c>
      <c r="H28" s="7">
        <v>91.36</v>
      </c>
      <c r="I28" s="7">
        <v>0</v>
      </c>
      <c r="J28" s="7">
        <v>97.33</v>
      </c>
      <c r="K28" s="7">
        <v>96.93</v>
      </c>
      <c r="M28" s="7">
        <v>552.39307999999994</v>
      </c>
      <c r="N28" s="7">
        <v>492.71136000000001</v>
      </c>
      <c r="O28" s="7">
        <v>496.51461</v>
      </c>
      <c r="Q28" s="33">
        <v>6115.94</v>
      </c>
      <c r="R28" s="33">
        <v>5132.46</v>
      </c>
      <c r="S28" s="33">
        <v>5195.13</v>
      </c>
    </row>
    <row r="29" spans="1:19" x14ac:dyDescent="0.2">
      <c r="A29" s="39">
        <v>9</v>
      </c>
      <c r="B29" s="6" t="s">
        <v>16</v>
      </c>
      <c r="C29" s="6">
        <v>57</v>
      </c>
      <c r="D29" s="6">
        <v>7</v>
      </c>
      <c r="E29" s="6">
        <v>219</v>
      </c>
      <c r="F29" s="23">
        <f t="shared" si="2"/>
        <v>283</v>
      </c>
      <c r="H29" s="7">
        <v>71.489999999999995</v>
      </c>
      <c r="I29" s="7">
        <v>84</v>
      </c>
      <c r="J29" s="7">
        <v>77.86</v>
      </c>
      <c r="K29" s="7">
        <v>76.61</v>
      </c>
      <c r="M29" s="7">
        <v>305.67122999999998</v>
      </c>
      <c r="N29" s="7">
        <v>349.56346000000002</v>
      </c>
      <c r="O29" s="7">
        <v>339.49295000000001</v>
      </c>
      <c r="Q29" s="33">
        <v>4242.78</v>
      </c>
      <c r="R29" s="33">
        <v>4458.8100000000004</v>
      </c>
      <c r="S29" s="33">
        <v>4409.24</v>
      </c>
    </row>
    <row r="30" spans="1:19" x14ac:dyDescent="0.2">
      <c r="A30" s="39">
        <v>10</v>
      </c>
      <c r="B30" s="6" t="s">
        <v>17</v>
      </c>
      <c r="C30" s="6">
        <v>2</v>
      </c>
      <c r="D30" s="6">
        <v>2</v>
      </c>
      <c r="E30" s="6">
        <v>188</v>
      </c>
      <c r="F30" s="23">
        <f t="shared" si="2"/>
        <v>192</v>
      </c>
      <c r="H30" s="7">
        <v>279</v>
      </c>
      <c r="I30" s="7">
        <v>92</v>
      </c>
      <c r="J30" s="7">
        <v>80.78</v>
      </c>
      <c r="K30" s="7">
        <v>83.3</v>
      </c>
      <c r="M30" s="7">
        <v>0</v>
      </c>
      <c r="N30" s="7">
        <v>342.75329999999997</v>
      </c>
      <c r="O30" s="7">
        <v>343.62326000000002</v>
      </c>
      <c r="Q30" s="33">
        <v>0</v>
      </c>
      <c r="R30" s="33">
        <v>4303.5</v>
      </c>
      <c r="S30" s="33">
        <v>4279.6099999999997</v>
      </c>
    </row>
    <row r="31" spans="1:19" x14ac:dyDescent="0.2">
      <c r="A31" s="39">
        <v>11</v>
      </c>
      <c r="B31" s="6" t="s">
        <v>18</v>
      </c>
      <c r="C31" s="6">
        <v>1</v>
      </c>
      <c r="D31" s="6">
        <v>0</v>
      </c>
      <c r="E31" s="6">
        <v>260</v>
      </c>
      <c r="F31" s="23">
        <f t="shared" si="2"/>
        <v>261</v>
      </c>
      <c r="H31" s="7">
        <v>0</v>
      </c>
      <c r="I31" s="7">
        <v>0</v>
      </c>
      <c r="J31" s="7">
        <v>62.41</v>
      </c>
      <c r="K31" s="7">
        <v>62.41</v>
      </c>
      <c r="M31" s="7">
        <v>0</v>
      </c>
      <c r="N31" s="7">
        <v>219.16936999999999</v>
      </c>
      <c r="O31" s="7">
        <v>219.16936999999999</v>
      </c>
      <c r="Q31" s="33">
        <v>0</v>
      </c>
      <c r="R31" s="33">
        <v>3721.32</v>
      </c>
      <c r="S31" s="33">
        <v>3721.32</v>
      </c>
    </row>
    <row r="32" spans="1:19" x14ac:dyDescent="0.2">
      <c r="A32" s="39">
        <v>12</v>
      </c>
      <c r="B32" s="6" t="s">
        <v>19</v>
      </c>
      <c r="C32" s="6">
        <v>0</v>
      </c>
      <c r="D32" s="6">
        <v>0</v>
      </c>
      <c r="E32" s="6">
        <v>4</v>
      </c>
      <c r="F32" s="23">
        <f t="shared" si="2"/>
        <v>4</v>
      </c>
      <c r="H32" s="7">
        <v>0</v>
      </c>
      <c r="I32" s="7">
        <v>0</v>
      </c>
      <c r="J32" s="7">
        <v>81.5</v>
      </c>
      <c r="K32" s="7">
        <v>81.5</v>
      </c>
      <c r="M32" s="7">
        <v>0</v>
      </c>
      <c r="N32" s="7">
        <v>138.99429000000001</v>
      </c>
      <c r="O32" s="7">
        <v>138.99429000000001</v>
      </c>
      <c r="Q32" s="33">
        <v>0</v>
      </c>
      <c r="R32" s="33">
        <v>1748.15</v>
      </c>
      <c r="S32" s="33">
        <v>1748.15</v>
      </c>
    </row>
    <row r="33" spans="1:19" x14ac:dyDescent="0.2">
      <c r="A33" s="39">
        <v>13</v>
      </c>
      <c r="B33" s="6" t="s">
        <v>20</v>
      </c>
      <c r="C33" s="6">
        <v>10</v>
      </c>
      <c r="D33" s="6">
        <v>0</v>
      </c>
      <c r="E33" s="6">
        <v>141</v>
      </c>
      <c r="F33" s="23">
        <f t="shared" si="2"/>
        <v>151</v>
      </c>
      <c r="H33" s="7">
        <v>63.8</v>
      </c>
      <c r="I33" s="7">
        <v>0</v>
      </c>
      <c r="J33" s="7">
        <v>67.849999999999994</v>
      </c>
      <c r="K33" s="7">
        <v>67.55</v>
      </c>
      <c r="M33" s="7">
        <v>216.97800000000001</v>
      </c>
      <c r="N33" s="7">
        <v>226.37482999999997</v>
      </c>
      <c r="O33" s="7">
        <v>224.75469000000001</v>
      </c>
      <c r="Q33" s="33">
        <v>3548.32</v>
      </c>
      <c r="R33" s="33">
        <v>3549.74</v>
      </c>
      <c r="S33" s="33">
        <v>3549.5</v>
      </c>
    </row>
    <row r="34" spans="1:19" x14ac:dyDescent="0.2">
      <c r="A34" s="39">
        <v>14</v>
      </c>
      <c r="B34" s="6" t="s">
        <v>21</v>
      </c>
      <c r="C34" s="6">
        <v>4</v>
      </c>
      <c r="D34" s="6">
        <v>0</v>
      </c>
      <c r="E34" s="6">
        <v>29</v>
      </c>
      <c r="F34" s="23">
        <f t="shared" si="2"/>
        <v>33</v>
      </c>
      <c r="H34" s="7">
        <v>79.75</v>
      </c>
      <c r="I34" s="7">
        <v>0</v>
      </c>
      <c r="J34" s="7">
        <v>78.48</v>
      </c>
      <c r="K34" s="7">
        <v>78.66</v>
      </c>
      <c r="M34" s="7">
        <v>156.25</v>
      </c>
      <c r="N34" s="7">
        <v>284.66368999999997</v>
      </c>
      <c r="O34" s="7">
        <v>266.95146</v>
      </c>
      <c r="Q34" s="33">
        <v>1971.78</v>
      </c>
      <c r="R34" s="33">
        <v>3727.43</v>
      </c>
      <c r="S34" s="33">
        <v>3485.27</v>
      </c>
    </row>
    <row r="35" spans="1:19" x14ac:dyDescent="0.2">
      <c r="A35" s="39">
        <v>15</v>
      </c>
      <c r="B35" s="6" t="s">
        <v>22</v>
      </c>
      <c r="C35" s="6">
        <v>19</v>
      </c>
      <c r="D35" s="6">
        <v>0</v>
      </c>
      <c r="E35" s="6">
        <v>56</v>
      </c>
      <c r="F35" s="23">
        <f t="shared" si="2"/>
        <v>75</v>
      </c>
      <c r="H35" s="7">
        <v>69.44</v>
      </c>
      <c r="I35" s="7">
        <v>0</v>
      </c>
      <c r="J35" s="7">
        <v>66.44</v>
      </c>
      <c r="K35" s="7">
        <v>67.23</v>
      </c>
      <c r="M35" s="7">
        <v>167.61111</v>
      </c>
      <c r="N35" s="7">
        <v>225.64514000000003</v>
      </c>
      <c r="O35" s="7">
        <v>210.05391</v>
      </c>
      <c r="Q35" s="33">
        <v>2449.87</v>
      </c>
      <c r="R35" s="33">
        <v>3453.85</v>
      </c>
      <c r="S35" s="33">
        <v>3184.12</v>
      </c>
    </row>
    <row r="36" spans="1:19" x14ac:dyDescent="0.2">
      <c r="A36" s="39">
        <v>16</v>
      </c>
      <c r="B36" s="6" t="s">
        <v>23</v>
      </c>
      <c r="C36" s="6">
        <v>61</v>
      </c>
      <c r="D36" s="6">
        <v>0</v>
      </c>
      <c r="E36" s="6">
        <v>73</v>
      </c>
      <c r="F36" s="23">
        <f t="shared" si="2"/>
        <v>134</v>
      </c>
      <c r="H36" s="7">
        <v>88.3</v>
      </c>
      <c r="I36" s="7">
        <v>0</v>
      </c>
      <c r="J36" s="7">
        <v>66.05</v>
      </c>
      <c r="K36" s="7">
        <v>76.36</v>
      </c>
      <c r="M36" s="7">
        <v>393.79415999999998</v>
      </c>
      <c r="N36" s="7">
        <v>223.88345999999999</v>
      </c>
      <c r="O36" s="7">
        <v>340.56912</v>
      </c>
      <c r="Q36" s="33">
        <v>4426.42</v>
      </c>
      <c r="R36" s="33">
        <v>3530.95</v>
      </c>
      <c r="S36" s="33">
        <v>4145.91</v>
      </c>
    </row>
    <row r="37" spans="1:19" x14ac:dyDescent="0.2">
      <c r="A37" s="39">
        <v>17</v>
      </c>
      <c r="B37" s="6" t="s">
        <v>24</v>
      </c>
      <c r="C37" s="6">
        <v>9</v>
      </c>
      <c r="D37" s="6">
        <v>0</v>
      </c>
      <c r="E37" s="6">
        <v>111</v>
      </c>
      <c r="F37" s="23">
        <f t="shared" si="2"/>
        <v>120</v>
      </c>
      <c r="H37" s="7">
        <v>149</v>
      </c>
      <c r="I37" s="7">
        <v>0</v>
      </c>
      <c r="J37" s="7">
        <v>63.66</v>
      </c>
      <c r="K37" s="7">
        <v>64.599999999999994</v>
      </c>
      <c r="M37" s="7">
        <v>525</v>
      </c>
      <c r="N37" s="7">
        <v>191.50092000000001</v>
      </c>
      <c r="O37" s="7">
        <v>208.17587</v>
      </c>
      <c r="Q37" s="33">
        <v>3523.49</v>
      </c>
      <c r="R37" s="33">
        <v>3087.66</v>
      </c>
      <c r="S37" s="33">
        <v>3109.45</v>
      </c>
    </row>
    <row r="38" spans="1:19" x14ac:dyDescent="0.2">
      <c r="A38" s="39">
        <v>18</v>
      </c>
      <c r="B38" s="6" t="s">
        <v>25</v>
      </c>
      <c r="C38" s="6">
        <v>7</v>
      </c>
      <c r="D38" s="6">
        <v>0</v>
      </c>
      <c r="E38" s="6">
        <v>193</v>
      </c>
      <c r="F38" s="23">
        <f t="shared" si="2"/>
        <v>200</v>
      </c>
      <c r="H38" s="7">
        <v>62.75</v>
      </c>
      <c r="I38" s="7">
        <v>0</v>
      </c>
      <c r="J38" s="7">
        <v>71.849999999999994</v>
      </c>
      <c r="K38" s="7">
        <v>71.63</v>
      </c>
      <c r="M38" s="7">
        <v>165</v>
      </c>
      <c r="N38" s="7">
        <v>320.20433000000003</v>
      </c>
      <c r="O38" s="7">
        <v>314.45602000000002</v>
      </c>
      <c r="Q38" s="33">
        <v>2631.39</v>
      </c>
      <c r="R38" s="33">
        <v>4300.24</v>
      </c>
      <c r="S38" s="33">
        <v>4238.43</v>
      </c>
    </row>
    <row r="39" spans="1:19" x14ac:dyDescent="0.2">
      <c r="A39" s="39">
        <v>19</v>
      </c>
      <c r="B39" s="6" t="s">
        <v>26</v>
      </c>
      <c r="C39" s="6">
        <v>9</v>
      </c>
      <c r="D39" s="6">
        <v>0</v>
      </c>
      <c r="E39" s="6">
        <v>199</v>
      </c>
      <c r="F39" s="23">
        <f t="shared" si="2"/>
        <v>208</v>
      </c>
      <c r="H39" s="7">
        <v>93.25</v>
      </c>
      <c r="I39" s="7">
        <v>0</v>
      </c>
      <c r="J39" s="7">
        <v>83.25</v>
      </c>
      <c r="K39" s="7">
        <v>83.69</v>
      </c>
      <c r="M39" s="7">
        <v>504.51499999999999</v>
      </c>
      <c r="N39" s="7">
        <v>402.70985999999999</v>
      </c>
      <c r="O39" s="7">
        <v>407.86455000000001</v>
      </c>
      <c r="Q39" s="33">
        <v>5241.28</v>
      </c>
      <c r="R39" s="33">
        <v>4720</v>
      </c>
      <c r="S39" s="33">
        <v>4746.3900000000003</v>
      </c>
    </row>
    <row r="40" spans="1:19" x14ac:dyDescent="0.2">
      <c r="A40" s="39">
        <v>20</v>
      </c>
      <c r="B40" s="6" t="s">
        <v>27</v>
      </c>
      <c r="C40" s="6">
        <v>1</v>
      </c>
      <c r="D40" s="6">
        <v>0</v>
      </c>
      <c r="E40" s="6">
        <v>68</v>
      </c>
      <c r="F40" s="23">
        <f t="shared" si="2"/>
        <v>69</v>
      </c>
      <c r="H40" s="7">
        <v>145</v>
      </c>
      <c r="I40" s="7">
        <v>0</v>
      </c>
      <c r="J40" s="7">
        <v>86.92</v>
      </c>
      <c r="K40" s="7">
        <v>88.02</v>
      </c>
      <c r="M40" s="7">
        <v>0</v>
      </c>
      <c r="N40" s="7">
        <v>429.30303000000004</v>
      </c>
      <c r="O40" s="7">
        <v>436.38234999999997</v>
      </c>
      <c r="Q40" s="33">
        <v>0</v>
      </c>
      <c r="R40" s="33">
        <v>4734.1099999999997</v>
      </c>
      <c r="S40" s="33">
        <v>4730.7700000000004</v>
      </c>
    </row>
    <row r="41" spans="1:19" x14ac:dyDescent="0.2">
      <c r="A41" s="39">
        <v>21</v>
      </c>
      <c r="B41" s="6" t="s">
        <v>28</v>
      </c>
      <c r="C41" s="6">
        <v>4</v>
      </c>
      <c r="D41" s="6">
        <v>0</v>
      </c>
      <c r="E41" s="6">
        <v>55</v>
      </c>
      <c r="F41" s="23">
        <f t="shared" si="2"/>
        <v>59</v>
      </c>
      <c r="H41" s="7">
        <v>122.75</v>
      </c>
      <c r="I41" s="7">
        <v>0</v>
      </c>
      <c r="J41" s="7">
        <v>148.36000000000001</v>
      </c>
      <c r="K41" s="7">
        <v>146.35</v>
      </c>
      <c r="M41" s="7">
        <v>701.25</v>
      </c>
      <c r="N41" s="7">
        <v>880.77773999999999</v>
      </c>
      <c r="O41" s="7">
        <v>866.12241000000006</v>
      </c>
      <c r="Q41" s="33">
        <v>5569.01</v>
      </c>
      <c r="R41" s="33">
        <v>5686.07</v>
      </c>
      <c r="S41" s="33">
        <v>5676.51</v>
      </c>
    </row>
    <row r="42" spans="1:19" x14ac:dyDescent="0.2">
      <c r="A42" s="39">
        <v>22</v>
      </c>
      <c r="B42" s="6" t="s">
        <v>29</v>
      </c>
      <c r="C42" s="6">
        <v>2</v>
      </c>
      <c r="D42" s="6">
        <v>0</v>
      </c>
      <c r="E42" s="6">
        <v>15</v>
      </c>
      <c r="F42" s="23">
        <f t="shared" si="2"/>
        <v>17</v>
      </c>
      <c r="H42" s="7">
        <v>250.5</v>
      </c>
      <c r="I42" s="7">
        <v>0</v>
      </c>
      <c r="J42" s="7">
        <v>132.19999999999999</v>
      </c>
      <c r="K42" s="7">
        <v>151.91999999999999</v>
      </c>
      <c r="M42" s="7">
        <v>0</v>
      </c>
      <c r="N42" s="7">
        <v>335.19538</v>
      </c>
      <c r="O42" s="7">
        <v>299.76282000000003</v>
      </c>
      <c r="Q42" s="33">
        <v>0</v>
      </c>
      <c r="R42" s="33">
        <v>3430.22</v>
      </c>
      <c r="S42" s="33">
        <v>3112.07</v>
      </c>
    </row>
    <row r="43" spans="1:19" x14ac:dyDescent="0.2">
      <c r="A43" s="39">
        <v>23</v>
      </c>
      <c r="B43" s="6" t="s">
        <v>30</v>
      </c>
      <c r="C43" s="6">
        <v>4</v>
      </c>
      <c r="D43" s="6">
        <v>0</v>
      </c>
      <c r="E43" s="6">
        <v>116</v>
      </c>
      <c r="F43" s="23">
        <f t="shared" si="2"/>
        <v>120</v>
      </c>
      <c r="H43" s="7">
        <v>111.5</v>
      </c>
      <c r="I43" s="7">
        <v>0</v>
      </c>
      <c r="J43" s="7">
        <v>111.85</v>
      </c>
      <c r="K43" s="7">
        <v>111.84</v>
      </c>
      <c r="M43" s="7">
        <v>1092</v>
      </c>
      <c r="N43" s="7">
        <v>740.33223999999996</v>
      </c>
      <c r="O43" s="7">
        <v>755.45772999999997</v>
      </c>
      <c r="Q43" s="33">
        <v>10139.64</v>
      </c>
      <c r="R43" s="33">
        <v>6307.88</v>
      </c>
      <c r="S43" s="33">
        <v>6472.69</v>
      </c>
    </row>
    <row r="44" spans="1:19" x14ac:dyDescent="0.2">
      <c r="A44" s="39">
        <v>24</v>
      </c>
      <c r="B44" s="6" t="s">
        <v>31</v>
      </c>
      <c r="C44" s="6">
        <v>1</v>
      </c>
      <c r="D44" s="6">
        <v>0</v>
      </c>
      <c r="E44" s="6">
        <v>64</v>
      </c>
      <c r="F44" s="23">
        <f t="shared" si="2"/>
        <v>65</v>
      </c>
      <c r="H44" s="7">
        <v>224</v>
      </c>
      <c r="I44" s="7">
        <v>0</v>
      </c>
      <c r="J44" s="7">
        <v>154.07</v>
      </c>
      <c r="K44" s="7">
        <v>155.28</v>
      </c>
      <c r="M44" s="7">
        <v>0</v>
      </c>
      <c r="N44" s="7">
        <v>995.64339000000007</v>
      </c>
      <c r="O44" s="7">
        <v>998.44987000000003</v>
      </c>
      <c r="Q44" s="33">
        <v>0</v>
      </c>
      <c r="R44" s="33">
        <v>6414.73</v>
      </c>
      <c r="S44" s="33">
        <v>6391.44</v>
      </c>
    </row>
    <row r="45" spans="1:19" x14ac:dyDescent="0.2">
      <c r="A45" s="39">
        <v>25</v>
      </c>
      <c r="B45" s="6" t="s">
        <v>32</v>
      </c>
      <c r="C45" s="6">
        <v>12</v>
      </c>
      <c r="D45" s="6">
        <v>0</v>
      </c>
      <c r="E45" s="6">
        <v>81</v>
      </c>
      <c r="F45" s="23">
        <f t="shared" si="2"/>
        <v>93</v>
      </c>
      <c r="H45" s="7">
        <v>121.3</v>
      </c>
      <c r="I45" s="7">
        <v>0</v>
      </c>
      <c r="J45" s="7">
        <v>123.42</v>
      </c>
      <c r="K45" s="7">
        <v>123.16</v>
      </c>
      <c r="M45" s="7">
        <v>723.75</v>
      </c>
      <c r="N45" s="7">
        <v>733.13909999999998</v>
      </c>
      <c r="O45" s="7">
        <v>731.99408999999991</v>
      </c>
      <c r="Q45" s="33">
        <v>5916.84</v>
      </c>
      <c r="R45" s="33">
        <v>5806.59</v>
      </c>
      <c r="S45" s="33">
        <v>5820.04</v>
      </c>
    </row>
    <row r="46" spans="1:19" x14ac:dyDescent="0.2">
      <c r="A46" s="39">
        <v>26</v>
      </c>
      <c r="B46" s="6" t="s">
        <v>33</v>
      </c>
      <c r="C46" s="6">
        <v>33</v>
      </c>
      <c r="D46" s="6">
        <v>0</v>
      </c>
      <c r="E46" s="6">
        <v>190</v>
      </c>
      <c r="F46" s="23">
        <f t="shared" si="2"/>
        <v>223</v>
      </c>
      <c r="H46" s="7">
        <v>128.55000000000001</v>
      </c>
      <c r="I46" s="7">
        <v>0</v>
      </c>
      <c r="J46" s="7">
        <v>135.75</v>
      </c>
      <c r="K46" s="7">
        <v>134.62</v>
      </c>
      <c r="M46" s="7">
        <v>826.15057999999999</v>
      </c>
      <c r="N46" s="7">
        <v>805.76871999999992</v>
      </c>
      <c r="O46" s="7">
        <v>808.99238000000003</v>
      </c>
      <c r="Q46" s="33">
        <v>6315.02</v>
      </c>
      <c r="R46" s="33">
        <v>5908.46</v>
      </c>
      <c r="S46" s="33">
        <v>5972.76</v>
      </c>
    </row>
    <row r="47" spans="1:19" x14ac:dyDescent="0.2">
      <c r="A47" s="39">
        <v>27</v>
      </c>
      <c r="B47" s="6" t="s">
        <v>34</v>
      </c>
      <c r="C47" s="6">
        <v>6</v>
      </c>
      <c r="D47" s="6">
        <v>1</v>
      </c>
      <c r="E47" s="6">
        <v>94</v>
      </c>
      <c r="F47" s="23">
        <f t="shared" si="2"/>
        <v>101</v>
      </c>
      <c r="H47" s="7">
        <v>90.67</v>
      </c>
      <c r="I47" s="7">
        <v>72</v>
      </c>
      <c r="J47" s="7">
        <v>123.31</v>
      </c>
      <c r="K47" s="7">
        <v>120.59</v>
      </c>
      <c r="M47" s="7">
        <v>515.5</v>
      </c>
      <c r="N47" s="7">
        <v>514.10122000000001</v>
      </c>
      <c r="O47" s="7">
        <v>514.19447000000002</v>
      </c>
      <c r="Q47" s="33">
        <v>6020.9</v>
      </c>
      <c r="R47" s="33">
        <v>4573.42</v>
      </c>
      <c r="S47" s="33">
        <v>4669.92</v>
      </c>
    </row>
    <row r="48" spans="1:19" x14ac:dyDescent="0.2">
      <c r="A48" s="39">
        <v>28</v>
      </c>
      <c r="B48" s="6" t="s">
        <v>35</v>
      </c>
      <c r="C48" s="6">
        <v>17</v>
      </c>
      <c r="D48" s="6">
        <v>1</v>
      </c>
      <c r="E48" s="6">
        <v>55</v>
      </c>
      <c r="F48" s="23">
        <f t="shared" si="2"/>
        <v>73</v>
      </c>
      <c r="H48" s="7">
        <v>105.29</v>
      </c>
      <c r="I48" s="7">
        <v>0</v>
      </c>
      <c r="J48" s="7">
        <v>81.47</v>
      </c>
      <c r="K48" s="7">
        <v>86.76</v>
      </c>
      <c r="M48" s="7">
        <v>457.28078999999997</v>
      </c>
      <c r="N48" s="7">
        <v>323.02292</v>
      </c>
      <c r="O48" s="7">
        <v>354.34976</v>
      </c>
      <c r="Q48" s="33">
        <v>4396.91</v>
      </c>
      <c r="R48" s="33">
        <v>4072.55</v>
      </c>
      <c r="S48" s="33">
        <v>4148.2299999999996</v>
      </c>
    </row>
    <row r="49" spans="1:19" x14ac:dyDescent="0.2">
      <c r="A49" s="39">
        <v>29</v>
      </c>
      <c r="B49" s="6" t="s">
        <v>36</v>
      </c>
      <c r="C49" s="6">
        <v>16</v>
      </c>
      <c r="D49" s="6">
        <v>0</v>
      </c>
      <c r="E49" s="6">
        <v>31</v>
      </c>
      <c r="F49" s="23">
        <f t="shared" si="2"/>
        <v>47</v>
      </c>
      <c r="H49" s="7">
        <v>63.85</v>
      </c>
      <c r="I49" s="7">
        <v>0</v>
      </c>
      <c r="J49" s="7">
        <v>73.61</v>
      </c>
      <c r="K49" s="7">
        <v>70.52</v>
      </c>
      <c r="M49" s="7">
        <v>208.49981</v>
      </c>
      <c r="N49" s="7">
        <v>214.98080999999999</v>
      </c>
      <c r="O49" s="7">
        <v>212.82048</v>
      </c>
      <c r="Q49" s="33">
        <v>3129.82</v>
      </c>
      <c r="R49" s="33">
        <v>2961.22</v>
      </c>
      <c r="S49" s="33">
        <v>3017.42</v>
      </c>
    </row>
    <row r="50" spans="1:19" x14ac:dyDescent="0.2">
      <c r="A50" s="39">
        <v>30</v>
      </c>
      <c r="B50" s="6" t="s">
        <v>37</v>
      </c>
      <c r="C50" s="6">
        <v>1</v>
      </c>
      <c r="D50" s="6">
        <v>0</v>
      </c>
      <c r="E50" s="6">
        <v>84</v>
      </c>
      <c r="F50" s="23">
        <f t="shared" si="2"/>
        <v>85</v>
      </c>
      <c r="H50" s="7">
        <v>75</v>
      </c>
      <c r="I50" s="7">
        <v>0</v>
      </c>
      <c r="J50" s="7">
        <v>86.2</v>
      </c>
      <c r="K50" s="7">
        <v>86.05</v>
      </c>
      <c r="M50" s="7">
        <v>0</v>
      </c>
      <c r="N50" s="7">
        <v>367.93028000000004</v>
      </c>
      <c r="O50" s="7">
        <v>367.23383000000001</v>
      </c>
      <c r="Q50" s="33">
        <v>0</v>
      </c>
      <c r="R50" s="33">
        <v>4254.6400000000003</v>
      </c>
      <c r="S50" s="33">
        <v>4253.92</v>
      </c>
    </row>
    <row r="51" spans="1:19" x14ac:dyDescent="0.2">
      <c r="A51" s="39">
        <v>31</v>
      </c>
      <c r="B51" s="6" t="s">
        <v>38</v>
      </c>
      <c r="C51" s="6">
        <v>12</v>
      </c>
      <c r="D51" s="6">
        <v>0</v>
      </c>
      <c r="E51" s="6">
        <v>287</v>
      </c>
      <c r="F51" s="23">
        <f t="shared" si="2"/>
        <v>299</v>
      </c>
      <c r="H51" s="7">
        <v>87.27</v>
      </c>
      <c r="I51" s="7">
        <v>0</v>
      </c>
      <c r="J51" s="7">
        <v>80.63</v>
      </c>
      <c r="K51" s="7">
        <v>80.91</v>
      </c>
      <c r="M51" s="7">
        <v>564.30391000000009</v>
      </c>
      <c r="N51" s="7">
        <v>368.54894000000002</v>
      </c>
      <c r="O51" s="7">
        <v>376.96028999999999</v>
      </c>
      <c r="Q51" s="33">
        <v>7047.1</v>
      </c>
      <c r="R51" s="33">
        <v>4772.3599999999997</v>
      </c>
      <c r="S51" s="33">
        <v>4870.1000000000004</v>
      </c>
    </row>
    <row r="52" spans="1:19" x14ac:dyDescent="0.2">
      <c r="A52" s="39">
        <v>32</v>
      </c>
      <c r="B52" s="6" t="s">
        <v>39</v>
      </c>
      <c r="C52" s="6">
        <v>0</v>
      </c>
      <c r="D52" s="6">
        <v>0</v>
      </c>
      <c r="E52" s="6">
        <v>205</v>
      </c>
      <c r="F52" s="23">
        <f t="shared" si="2"/>
        <v>205</v>
      </c>
      <c r="H52" s="7">
        <v>0</v>
      </c>
      <c r="I52" s="7">
        <v>0</v>
      </c>
      <c r="J52" s="7">
        <v>74.11</v>
      </c>
      <c r="K52" s="7">
        <v>74.11</v>
      </c>
      <c r="M52" s="7">
        <v>0</v>
      </c>
      <c r="N52" s="7">
        <v>331.8886</v>
      </c>
      <c r="O52" s="7">
        <v>331.8886</v>
      </c>
      <c r="Q52" s="33">
        <v>0</v>
      </c>
      <c r="R52" s="33">
        <v>4524.8999999999996</v>
      </c>
      <c r="S52" s="33">
        <v>4524.8999999999996</v>
      </c>
    </row>
    <row r="53" spans="1:19" x14ac:dyDescent="0.2">
      <c r="A53" s="39">
        <v>33</v>
      </c>
      <c r="B53" s="6" t="s">
        <v>40</v>
      </c>
      <c r="C53" s="6">
        <v>9</v>
      </c>
      <c r="D53" s="6">
        <v>0</v>
      </c>
      <c r="E53" s="6">
        <v>100</v>
      </c>
      <c r="F53" s="23">
        <f t="shared" si="2"/>
        <v>109</v>
      </c>
      <c r="H53" s="7">
        <v>57.63</v>
      </c>
      <c r="I53" s="7">
        <v>0</v>
      </c>
      <c r="J53" s="7">
        <v>67.73</v>
      </c>
      <c r="K53" s="7">
        <v>66.8</v>
      </c>
      <c r="M53" s="7">
        <v>217.125</v>
      </c>
      <c r="N53" s="7">
        <v>260.95943</v>
      </c>
      <c r="O53" s="7">
        <v>256.88180999999997</v>
      </c>
      <c r="Q53" s="33">
        <v>3876.88</v>
      </c>
      <c r="R53" s="33">
        <v>3909.96</v>
      </c>
      <c r="S53" s="33">
        <v>3906.88</v>
      </c>
    </row>
    <row r="54" spans="1:19" x14ac:dyDescent="0.2">
      <c r="A54" s="39">
        <v>34</v>
      </c>
      <c r="B54" s="6" t="s">
        <v>41</v>
      </c>
      <c r="C54" s="6">
        <v>0</v>
      </c>
      <c r="D54" s="6">
        <v>0</v>
      </c>
      <c r="E54" s="6">
        <v>49</v>
      </c>
      <c r="F54" s="23">
        <f t="shared" si="2"/>
        <v>49</v>
      </c>
      <c r="H54" s="7">
        <v>0</v>
      </c>
      <c r="I54" s="7">
        <v>0</v>
      </c>
      <c r="J54" s="7">
        <v>67.930000000000007</v>
      </c>
      <c r="K54" s="7">
        <v>67.930000000000007</v>
      </c>
      <c r="M54" s="7">
        <v>0</v>
      </c>
      <c r="N54" s="7">
        <v>193.3</v>
      </c>
      <c r="O54" s="7">
        <v>193.3</v>
      </c>
      <c r="Q54" s="33">
        <v>0</v>
      </c>
      <c r="R54" s="33">
        <v>2915.71</v>
      </c>
      <c r="S54" s="33">
        <v>2915.71</v>
      </c>
    </row>
    <row r="55" spans="1:19" x14ac:dyDescent="0.2">
      <c r="A55" s="39">
        <v>35</v>
      </c>
      <c r="B55" s="6" t="s">
        <v>42</v>
      </c>
      <c r="C55" s="6">
        <v>2</v>
      </c>
      <c r="D55" s="6">
        <v>0</v>
      </c>
      <c r="E55" s="6">
        <v>132</v>
      </c>
      <c r="F55" s="23">
        <f t="shared" si="2"/>
        <v>134</v>
      </c>
      <c r="H55" s="7">
        <v>101.5</v>
      </c>
      <c r="I55" s="7">
        <v>0</v>
      </c>
      <c r="J55" s="7">
        <v>69.209999999999994</v>
      </c>
      <c r="K55" s="7">
        <v>69.77</v>
      </c>
      <c r="M55" s="7">
        <v>0</v>
      </c>
      <c r="N55" s="7">
        <v>247.08288000000002</v>
      </c>
      <c r="O55" s="7">
        <v>246.60904000000002</v>
      </c>
      <c r="Q55" s="33">
        <v>0</v>
      </c>
      <c r="R55" s="33">
        <v>3655.15</v>
      </c>
      <c r="S55" s="33">
        <v>3628.68</v>
      </c>
    </row>
    <row r="56" spans="1:19" x14ac:dyDescent="0.2">
      <c r="A56" s="39">
        <v>36</v>
      </c>
      <c r="B56" s="6" t="s">
        <v>43</v>
      </c>
      <c r="C56" s="6">
        <v>2</v>
      </c>
      <c r="D56" s="6">
        <v>0</v>
      </c>
      <c r="E56" s="6">
        <v>56</v>
      </c>
      <c r="F56" s="23">
        <f t="shared" si="2"/>
        <v>58</v>
      </c>
      <c r="H56" s="7">
        <v>38.5</v>
      </c>
      <c r="I56" s="7">
        <v>0</v>
      </c>
      <c r="J56" s="7">
        <v>91.24</v>
      </c>
      <c r="K56" s="7">
        <v>89.21</v>
      </c>
      <c r="M56" s="7">
        <v>0</v>
      </c>
      <c r="N56" s="7">
        <v>326.44918999999999</v>
      </c>
      <c r="O56" s="7">
        <v>322.73960999999997</v>
      </c>
      <c r="Q56" s="33">
        <v>0</v>
      </c>
      <c r="R56" s="33">
        <v>3683.36</v>
      </c>
      <c r="S56" s="33">
        <v>3770.25</v>
      </c>
    </row>
    <row r="57" spans="1:19" x14ac:dyDescent="0.2">
      <c r="A57" s="39">
        <v>37</v>
      </c>
      <c r="B57" s="6" t="s">
        <v>44</v>
      </c>
      <c r="C57" s="6">
        <v>26</v>
      </c>
      <c r="D57" s="6">
        <v>3</v>
      </c>
      <c r="E57" s="6">
        <v>105</v>
      </c>
      <c r="F57" s="23">
        <f t="shared" si="2"/>
        <v>134</v>
      </c>
      <c r="H57" s="7">
        <v>58.9</v>
      </c>
      <c r="I57" s="7">
        <v>67</v>
      </c>
      <c r="J57" s="7">
        <v>65.56</v>
      </c>
      <c r="K57" s="7">
        <v>64.41</v>
      </c>
      <c r="M57" s="7">
        <v>157.31429</v>
      </c>
      <c r="N57" s="7">
        <v>180.97023000000002</v>
      </c>
      <c r="O57" s="7">
        <v>176.53474</v>
      </c>
      <c r="Q57" s="33">
        <v>2746.7</v>
      </c>
      <c r="R57" s="33">
        <v>2714.1</v>
      </c>
      <c r="S57" s="33">
        <v>2720.21</v>
      </c>
    </row>
    <row r="58" spans="1:19" x14ac:dyDescent="0.2">
      <c r="A58" s="39">
        <v>38</v>
      </c>
      <c r="B58" s="6" t="s">
        <v>45</v>
      </c>
      <c r="C58" s="6">
        <v>26</v>
      </c>
      <c r="D58" s="6">
        <v>0</v>
      </c>
      <c r="E58" s="6">
        <v>33</v>
      </c>
      <c r="F58" s="23">
        <f t="shared" si="2"/>
        <v>59</v>
      </c>
      <c r="H58" s="7">
        <v>74.959999999999994</v>
      </c>
      <c r="I58" s="7">
        <v>0</v>
      </c>
      <c r="J58" s="7">
        <v>61.94</v>
      </c>
      <c r="K58" s="7">
        <v>67.52</v>
      </c>
      <c r="M58" s="7">
        <v>205.35449</v>
      </c>
      <c r="N58" s="7">
        <v>166.79866000000001</v>
      </c>
      <c r="O58" s="7">
        <v>183.32258999999999</v>
      </c>
      <c r="Q58" s="33">
        <v>2590.96</v>
      </c>
      <c r="R58" s="33">
        <v>2763.91</v>
      </c>
      <c r="S58" s="33">
        <v>2689.79</v>
      </c>
    </row>
    <row r="59" spans="1:19" x14ac:dyDescent="0.2">
      <c r="A59" s="39">
        <v>39</v>
      </c>
      <c r="B59" s="6" t="s">
        <v>46</v>
      </c>
      <c r="C59" s="6">
        <v>17</v>
      </c>
      <c r="D59" s="6">
        <v>1</v>
      </c>
      <c r="E59" s="6">
        <v>17</v>
      </c>
      <c r="F59" s="23">
        <f t="shared" si="2"/>
        <v>35</v>
      </c>
      <c r="H59" s="7">
        <v>65.53</v>
      </c>
      <c r="I59" s="7">
        <v>52</v>
      </c>
      <c r="J59" s="7">
        <v>66.56</v>
      </c>
      <c r="K59" s="7">
        <v>65.62</v>
      </c>
      <c r="M59" s="7">
        <v>199.76429000000002</v>
      </c>
      <c r="N59" s="7">
        <v>191.42857000000001</v>
      </c>
      <c r="O59" s="7">
        <v>195.59643</v>
      </c>
      <c r="Q59" s="33">
        <v>3181.06</v>
      </c>
      <c r="R59" s="33">
        <v>2646.2</v>
      </c>
      <c r="S59" s="33">
        <v>2913.63</v>
      </c>
    </row>
    <row r="60" spans="1:19" x14ac:dyDescent="0.2">
      <c r="A60" s="39">
        <v>40</v>
      </c>
      <c r="B60" s="6" t="s">
        <v>47</v>
      </c>
      <c r="C60" s="6">
        <v>3</v>
      </c>
      <c r="D60" s="6">
        <v>0</v>
      </c>
      <c r="E60" s="6">
        <v>21</v>
      </c>
      <c r="F60" s="23">
        <f t="shared" si="2"/>
        <v>24</v>
      </c>
      <c r="H60" s="7">
        <v>57</v>
      </c>
      <c r="I60" s="7">
        <v>0</v>
      </c>
      <c r="J60" s="7">
        <v>62.88</v>
      </c>
      <c r="K60" s="7">
        <v>61.95</v>
      </c>
      <c r="M60" s="7">
        <v>211.66667000000001</v>
      </c>
      <c r="N60" s="7">
        <v>187.46667000000002</v>
      </c>
      <c r="O60" s="7">
        <v>191.5</v>
      </c>
      <c r="Q60" s="33">
        <v>3744.68</v>
      </c>
      <c r="R60" s="33">
        <v>3109.32</v>
      </c>
      <c r="S60" s="33">
        <v>3215.21</v>
      </c>
    </row>
    <row r="61" spans="1:19" x14ac:dyDescent="0.2">
      <c r="A61" s="39">
        <v>41</v>
      </c>
      <c r="B61" s="6" t="s">
        <v>48</v>
      </c>
      <c r="C61" s="6">
        <v>0</v>
      </c>
      <c r="D61" s="6">
        <v>1</v>
      </c>
      <c r="E61" s="6">
        <v>15</v>
      </c>
      <c r="F61" s="23">
        <f t="shared" si="2"/>
        <v>16</v>
      </c>
      <c r="H61" s="7">
        <v>0</v>
      </c>
      <c r="I61" s="7">
        <v>0</v>
      </c>
      <c r="J61" s="7">
        <v>59.92</v>
      </c>
      <c r="K61" s="7">
        <v>59.92</v>
      </c>
      <c r="M61" s="21">
        <v>0</v>
      </c>
      <c r="N61" s="21">
        <v>258.75007999999997</v>
      </c>
      <c r="O61" s="21">
        <v>258.75007999999997</v>
      </c>
      <c r="P61" s="21"/>
      <c r="Q61" s="36">
        <v>0</v>
      </c>
      <c r="R61" s="36">
        <v>4445.09</v>
      </c>
      <c r="S61" s="33">
        <v>4445.09</v>
      </c>
    </row>
    <row r="62" spans="1:19" x14ac:dyDescent="0.2">
      <c r="A62" s="39">
        <v>42</v>
      </c>
      <c r="B62" s="6" t="s">
        <v>49</v>
      </c>
      <c r="C62" s="6">
        <v>0</v>
      </c>
      <c r="D62" s="6">
        <v>0</v>
      </c>
      <c r="E62" s="6">
        <v>0</v>
      </c>
      <c r="F62" s="23">
        <f t="shared" si="2"/>
        <v>0</v>
      </c>
      <c r="H62" s="7">
        <v>0</v>
      </c>
      <c r="I62" s="7">
        <v>0</v>
      </c>
      <c r="J62" s="7">
        <v>0</v>
      </c>
      <c r="K62" s="7">
        <v>0</v>
      </c>
      <c r="M62" s="7">
        <v>0</v>
      </c>
      <c r="N62" s="7">
        <v>0</v>
      </c>
      <c r="O62" s="7">
        <v>0</v>
      </c>
      <c r="Q62" s="33">
        <v>0</v>
      </c>
      <c r="R62" s="33">
        <v>0</v>
      </c>
      <c r="S62" s="33">
        <v>0</v>
      </c>
    </row>
    <row r="63" spans="1:19" x14ac:dyDescent="0.2">
      <c r="A63" s="39">
        <v>43</v>
      </c>
      <c r="B63" s="6" t="s">
        <v>50</v>
      </c>
      <c r="C63" s="6">
        <v>18</v>
      </c>
      <c r="D63" s="6">
        <v>1</v>
      </c>
      <c r="E63" s="6">
        <v>98</v>
      </c>
      <c r="F63" s="23">
        <f t="shared" si="2"/>
        <v>117</v>
      </c>
      <c r="H63" s="7">
        <v>81</v>
      </c>
      <c r="I63" s="7">
        <v>59</v>
      </c>
      <c r="J63" s="7">
        <v>78.81</v>
      </c>
      <c r="K63" s="7">
        <v>78.930000000000007</v>
      </c>
      <c r="M63" s="7">
        <v>306.21525000000003</v>
      </c>
      <c r="N63" s="7">
        <v>219.58107999999999</v>
      </c>
      <c r="O63" s="7">
        <v>235.23785999999998</v>
      </c>
      <c r="Q63" s="33">
        <v>3479.85</v>
      </c>
      <c r="R63" s="33">
        <v>3052.38</v>
      </c>
      <c r="S63" s="33">
        <v>3129.63</v>
      </c>
    </row>
    <row r="64" spans="1:19" x14ac:dyDescent="0.2">
      <c r="A64" s="39">
        <v>44</v>
      </c>
      <c r="B64" s="6" t="s">
        <v>51</v>
      </c>
      <c r="C64" s="6">
        <v>1</v>
      </c>
      <c r="D64" s="6">
        <v>0</v>
      </c>
      <c r="E64" s="6">
        <v>89</v>
      </c>
      <c r="F64" s="23">
        <f t="shared" si="2"/>
        <v>90</v>
      </c>
      <c r="H64" s="7">
        <v>122</v>
      </c>
      <c r="I64" s="7">
        <v>0</v>
      </c>
      <c r="J64" s="7">
        <v>68.39</v>
      </c>
      <c r="K64" s="7">
        <v>69.02</v>
      </c>
      <c r="M64" s="7">
        <v>0</v>
      </c>
      <c r="N64" s="7">
        <v>209.50277</v>
      </c>
      <c r="O64" s="7">
        <v>209.20726999999999</v>
      </c>
      <c r="Q64" s="33">
        <v>0</v>
      </c>
      <c r="R64" s="33">
        <v>3038.71</v>
      </c>
      <c r="S64" s="33">
        <v>3016.27</v>
      </c>
    </row>
    <row r="65" spans="1:19" x14ac:dyDescent="0.2">
      <c r="A65" s="39">
        <v>45</v>
      </c>
      <c r="B65" s="6" t="s">
        <v>52</v>
      </c>
      <c r="C65" s="6">
        <v>6</v>
      </c>
      <c r="D65" s="6">
        <v>0</v>
      </c>
      <c r="E65" s="6">
        <v>89</v>
      </c>
      <c r="F65" s="23">
        <f t="shared" si="2"/>
        <v>95</v>
      </c>
      <c r="H65" s="7">
        <v>58</v>
      </c>
      <c r="I65" s="7">
        <v>0</v>
      </c>
      <c r="J65" s="7">
        <v>66.349999999999994</v>
      </c>
      <c r="K65" s="7">
        <v>66.14</v>
      </c>
      <c r="M65" s="7">
        <v>147.5</v>
      </c>
      <c r="N65" s="7">
        <v>185.7037</v>
      </c>
      <c r="O65" s="7">
        <v>183.06896</v>
      </c>
      <c r="Q65" s="33">
        <v>2541.63</v>
      </c>
      <c r="R65" s="33">
        <v>2626.36</v>
      </c>
      <c r="S65" s="33">
        <v>2620.52</v>
      </c>
    </row>
    <row r="66" spans="1:19" x14ac:dyDescent="0.2">
      <c r="A66" s="39">
        <v>46</v>
      </c>
      <c r="B66" s="6" t="s">
        <v>53</v>
      </c>
      <c r="C66" s="6">
        <v>1</v>
      </c>
      <c r="D66" s="6">
        <v>0</v>
      </c>
      <c r="E66" s="6">
        <v>94</v>
      </c>
      <c r="F66" s="23">
        <f t="shared" si="2"/>
        <v>95</v>
      </c>
      <c r="H66" s="7">
        <v>0</v>
      </c>
      <c r="I66" s="7">
        <v>0</v>
      </c>
      <c r="J66" s="7">
        <v>63.4</v>
      </c>
      <c r="K66" s="7">
        <v>63.4</v>
      </c>
      <c r="M66" s="7">
        <v>0</v>
      </c>
      <c r="N66" s="7">
        <v>159.2398</v>
      </c>
      <c r="O66" s="7">
        <v>159.2398</v>
      </c>
      <c r="Q66" s="33">
        <v>0</v>
      </c>
      <c r="R66" s="33">
        <v>2516.16</v>
      </c>
      <c r="S66" s="33">
        <v>2516.16</v>
      </c>
    </row>
    <row r="67" spans="1:19" x14ac:dyDescent="0.2">
      <c r="A67" s="39">
        <v>47</v>
      </c>
      <c r="B67" s="6" t="s">
        <v>54</v>
      </c>
      <c r="C67" s="6">
        <v>1</v>
      </c>
      <c r="D67" s="6">
        <v>0</v>
      </c>
      <c r="E67" s="6">
        <v>5</v>
      </c>
      <c r="F67" s="23">
        <f t="shared" si="2"/>
        <v>6</v>
      </c>
      <c r="H67" s="7">
        <v>57</v>
      </c>
      <c r="I67" s="7">
        <v>0</v>
      </c>
      <c r="J67" s="7">
        <v>71.8</v>
      </c>
      <c r="K67" s="7">
        <v>69.33</v>
      </c>
      <c r="M67" s="7">
        <v>0</v>
      </c>
      <c r="N67" s="7">
        <v>215</v>
      </c>
      <c r="O67" s="7">
        <v>317.5</v>
      </c>
      <c r="Q67" s="33">
        <v>0</v>
      </c>
      <c r="R67" s="33">
        <v>2905.41</v>
      </c>
      <c r="S67" s="33">
        <v>5136.91</v>
      </c>
    </row>
    <row r="68" spans="1:19" x14ac:dyDescent="0.2">
      <c r="A68" s="39">
        <v>48</v>
      </c>
      <c r="B68" s="6" t="s">
        <v>55</v>
      </c>
      <c r="C68" s="6">
        <v>0</v>
      </c>
      <c r="D68" s="6">
        <v>0</v>
      </c>
      <c r="E68" s="6">
        <v>50</v>
      </c>
      <c r="F68" s="23">
        <f t="shared" si="2"/>
        <v>50</v>
      </c>
      <c r="H68" s="7">
        <v>0</v>
      </c>
      <c r="I68" s="7">
        <v>0</v>
      </c>
      <c r="J68" s="7">
        <v>74.63</v>
      </c>
      <c r="K68" s="7">
        <v>74.63</v>
      </c>
      <c r="M68" s="7">
        <v>0</v>
      </c>
      <c r="N68" s="7">
        <v>203.23529000000002</v>
      </c>
      <c r="O68" s="7">
        <v>203.23529000000002</v>
      </c>
      <c r="Q68" s="33">
        <v>0</v>
      </c>
      <c r="R68" s="33">
        <v>2598.89</v>
      </c>
      <c r="S68" s="33">
        <v>2598.89</v>
      </c>
    </row>
    <row r="69" spans="1:19" x14ac:dyDescent="0.2">
      <c r="A69" s="39">
        <v>49</v>
      </c>
      <c r="B69" s="6" t="s">
        <v>56</v>
      </c>
      <c r="C69" s="6">
        <v>0</v>
      </c>
      <c r="D69" s="6">
        <v>0</v>
      </c>
      <c r="E69" s="6">
        <v>24</v>
      </c>
      <c r="F69" s="23">
        <f t="shared" si="2"/>
        <v>24</v>
      </c>
      <c r="H69" s="7">
        <v>0</v>
      </c>
      <c r="I69" s="7">
        <v>0</v>
      </c>
      <c r="J69" s="7">
        <v>68.05</v>
      </c>
      <c r="K69" s="7">
        <v>68.05</v>
      </c>
      <c r="M69" s="7">
        <v>0</v>
      </c>
      <c r="N69" s="7">
        <v>215.16667000000001</v>
      </c>
      <c r="O69" s="7">
        <v>215.16667000000001</v>
      </c>
      <c r="Q69" s="33">
        <v>0</v>
      </c>
      <c r="R69" s="33">
        <v>2708.93</v>
      </c>
      <c r="S69" s="33">
        <v>2708.93</v>
      </c>
    </row>
    <row r="70" spans="1:19" x14ac:dyDescent="0.2">
      <c r="A70" s="39">
        <v>50</v>
      </c>
      <c r="B70" s="6" t="s">
        <v>57</v>
      </c>
      <c r="C70" s="6">
        <v>0</v>
      </c>
      <c r="D70" s="6">
        <v>0</v>
      </c>
      <c r="E70" s="6">
        <v>108</v>
      </c>
      <c r="F70" s="23">
        <f t="shared" si="2"/>
        <v>108</v>
      </c>
      <c r="H70" s="7">
        <v>0</v>
      </c>
      <c r="I70" s="7">
        <v>0</v>
      </c>
      <c r="J70" s="7">
        <v>55.45</v>
      </c>
      <c r="K70" s="7">
        <v>55.45</v>
      </c>
      <c r="M70" s="7">
        <v>0</v>
      </c>
      <c r="N70" s="7">
        <v>123.71364</v>
      </c>
      <c r="O70" s="7">
        <v>123.71364</v>
      </c>
      <c r="Q70" s="33">
        <v>0</v>
      </c>
      <c r="R70" s="33">
        <v>2094.96</v>
      </c>
      <c r="S70" s="33">
        <v>2094.96</v>
      </c>
    </row>
    <row r="71" spans="1:19" x14ac:dyDescent="0.2">
      <c r="A71" s="39">
        <v>51</v>
      </c>
      <c r="B71" s="6" t="s">
        <v>58</v>
      </c>
      <c r="C71" s="6">
        <v>1</v>
      </c>
      <c r="D71" s="6">
        <v>0</v>
      </c>
      <c r="E71" s="6">
        <v>89</v>
      </c>
      <c r="F71" s="23">
        <f t="shared" si="2"/>
        <v>90</v>
      </c>
      <c r="H71" s="7">
        <v>100</v>
      </c>
      <c r="I71" s="7">
        <v>0</v>
      </c>
      <c r="J71" s="7">
        <v>54.58</v>
      </c>
      <c r="K71" s="7">
        <v>55.16</v>
      </c>
      <c r="M71" s="7">
        <v>0</v>
      </c>
      <c r="N71" s="7">
        <v>148.35114999999999</v>
      </c>
      <c r="O71" s="7">
        <v>152.30110000000002</v>
      </c>
      <c r="Q71" s="33">
        <v>0</v>
      </c>
      <c r="R71" s="33">
        <v>2457.5300000000002</v>
      </c>
      <c r="S71" s="33">
        <v>2454.6799999999998</v>
      </c>
    </row>
    <row r="72" spans="1:19" x14ac:dyDescent="0.2">
      <c r="A72" s="39">
        <v>52</v>
      </c>
      <c r="B72" s="6" t="s">
        <v>59</v>
      </c>
      <c r="C72" s="6">
        <v>6</v>
      </c>
      <c r="D72" s="6">
        <v>0</v>
      </c>
      <c r="E72" s="6">
        <v>127</v>
      </c>
      <c r="F72" s="23">
        <f t="shared" si="2"/>
        <v>133</v>
      </c>
      <c r="H72" s="7">
        <v>109.6</v>
      </c>
      <c r="I72" s="7">
        <v>0</v>
      </c>
      <c r="J72" s="7">
        <v>58.89</v>
      </c>
      <c r="K72" s="7">
        <v>61.15</v>
      </c>
      <c r="M72" s="7">
        <v>201.50020000000001</v>
      </c>
      <c r="N72" s="7">
        <v>155.24235000000002</v>
      </c>
      <c r="O72" s="7">
        <v>161.17284000000001</v>
      </c>
      <c r="Q72" s="33">
        <v>1778.62</v>
      </c>
      <c r="R72" s="33">
        <v>2769.73</v>
      </c>
      <c r="S72" s="33">
        <v>2642.66</v>
      </c>
    </row>
    <row r="73" spans="1:19" x14ac:dyDescent="0.2">
      <c r="A73" s="39">
        <v>53</v>
      </c>
      <c r="B73" s="6" t="s">
        <v>60</v>
      </c>
      <c r="C73" s="6">
        <v>0</v>
      </c>
      <c r="D73" s="6">
        <v>0</v>
      </c>
      <c r="E73" s="6">
        <v>57</v>
      </c>
      <c r="F73" s="23">
        <f t="shared" si="2"/>
        <v>57</v>
      </c>
      <c r="H73" s="7">
        <v>0</v>
      </c>
      <c r="I73" s="7">
        <v>0</v>
      </c>
      <c r="J73" s="7">
        <v>59.49</v>
      </c>
      <c r="K73" s="7">
        <v>59.49</v>
      </c>
      <c r="M73" s="7">
        <v>0</v>
      </c>
      <c r="N73" s="7">
        <v>102.50288</v>
      </c>
      <c r="O73" s="7">
        <v>102.50288</v>
      </c>
      <c r="Q73" s="33">
        <v>0</v>
      </c>
      <c r="R73" s="33">
        <v>1840.83</v>
      </c>
      <c r="S73" s="33">
        <v>1840.83</v>
      </c>
    </row>
    <row r="74" spans="1:19" x14ac:dyDescent="0.2">
      <c r="A74" s="39">
        <v>54</v>
      </c>
      <c r="B74" s="6" t="s">
        <v>61</v>
      </c>
      <c r="C74" s="6">
        <v>0</v>
      </c>
      <c r="D74" s="6">
        <v>0</v>
      </c>
      <c r="E74" s="6">
        <v>9</v>
      </c>
      <c r="F74" s="23">
        <f t="shared" si="2"/>
        <v>9</v>
      </c>
      <c r="H74" s="7">
        <v>0</v>
      </c>
      <c r="I74" s="7">
        <v>0</v>
      </c>
      <c r="J74" s="7">
        <v>91.57</v>
      </c>
      <c r="K74" s="7">
        <v>91.57</v>
      </c>
      <c r="M74" s="7">
        <v>0</v>
      </c>
      <c r="N74" s="7">
        <v>170.03851999999998</v>
      </c>
      <c r="O74" s="7">
        <v>170.03851999999998</v>
      </c>
      <c r="Q74" s="33">
        <v>0</v>
      </c>
      <c r="R74" s="33">
        <v>1567.45</v>
      </c>
      <c r="S74" s="33">
        <v>1567.45</v>
      </c>
    </row>
    <row r="75" spans="1:19" x14ac:dyDescent="0.2">
      <c r="A75" s="39">
        <v>55</v>
      </c>
      <c r="B75" s="6" t="s">
        <v>62</v>
      </c>
      <c r="C75" s="6">
        <v>0</v>
      </c>
      <c r="D75" s="6">
        <v>0</v>
      </c>
      <c r="E75" s="6">
        <v>83</v>
      </c>
      <c r="F75" s="23">
        <f t="shared" si="2"/>
        <v>83</v>
      </c>
      <c r="H75" s="7">
        <v>0</v>
      </c>
      <c r="I75" s="7">
        <v>0</v>
      </c>
      <c r="J75" s="7">
        <v>59.43</v>
      </c>
      <c r="K75" s="7">
        <v>59.43</v>
      </c>
      <c r="M75" s="7">
        <v>0</v>
      </c>
      <c r="N75" s="7">
        <v>99.635720000000006</v>
      </c>
      <c r="O75" s="7">
        <v>99.635720000000006</v>
      </c>
      <c r="Q75" s="33">
        <v>0</v>
      </c>
      <c r="R75" s="33">
        <v>1747.43</v>
      </c>
      <c r="S75" s="33">
        <v>1747.43</v>
      </c>
    </row>
    <row r="76" spans="1:19" x14ac:dyDescent="0.2">
      <c r="A76" s="39">
        <v>56</v>
      </c>
      <c r="B76" s="6" t="s">
        <v>80</v>
      </c>
      <c r="C76" s="6">
        <v>0</v>
      </c>
      <c r="D76" s="6">
        <v>0</v>
      </c>
      <c r="E76" s="6">
        <v>4</v>
      </c>
      <c r="F76" s="23">
        <f t="shared" si="2"/>
        <v>4</v>
      </c>
      <c r="H76" s="7">
        <v>0</v>
      </c>
      <c r="I76" s="7">
        <v>0</v>
      </c>
      <c r="J76" s="7">
        <v>157.5</v>
      </c>
      <c r="K76" s="7">
        <v>157.5</v>
      </c>
      <c r="M76" s="7">
        <v>0</v>
      </c>
      <c r="N76" s="7">
        <v>130</v>
      </c>
      <c r="O76" s="7">
        <v>130</v>
      </c>
      <c r="Q76" s="33">
        <v>0</v>
      </c>
      <c r="R76" s="33">
        <v>509.8</v>
      </c>
      <c r="S76" s="33">
        <v>509.8</v>
      </c>
    </row>
    <row r="77" spans="1:19" x14ac:dyDescent="0.2">
      <c r="A77" s="39">
        <v>57</v>
      </c>
      <c r="B77" s="6" t="s">
        <v>63</v>
      </c>
      <c r="C77" s="6">
        <v>2</v>
      </c>
      <c r="D77" s="6">
        <v>0</v>
      </c>
      <c r="E77" s="6">
        <v>61</v>
      </c>
      <c r="F77" s="23">
        <f t="shared" si="2"/>
        <v>63</v>
      </c>
      <c r="H77" s="7">
        <v>55</v>
      </c>
      <c r="I77" s="7">
        <v>0</v>
      </c>
      <c r="J77" s="7">
        <v>62.43</v>
      </c>
      <c r="K77" s="7">
        <v>62.17</v>
      </c>
      <c r="M77" s="7">
        <v>0</v>
      </c>
      <c r="N77" s="7">
        <v>125.8001</v>
      </c>
      <c r="O77" s="7">
        <v>141.76602</v>
      </c>
      <c r="Q77" s="33">
        <v>0</v>
      </c>
      <c r="R77" s="33">
        <v>1896.22</v>
      </c>
      <c r="S77" s="33">
        <v>2251.87</v>
      </c>
    </row>
    <row r="78" spans="1:19" x14ac:dyDescent="0.2">
      <c r="A78" s="39">
        <v>58</v>
      </c>
      <c r="B78" s="6" t="s">
        <v>64</v>
      </c>
      <c r="C78" s="6">
        <v>0</v>
      </c>
      <c r="D78" s="6">
        <v>0</v>
      </c>
      <c r="E78" s="6">
        <v>15</v>
      </c>
      <c r="F78" s="23">
        <f t="shared" si="2"/>
        <v>15</v>
      </c>
      <c r="H78" s="7">
        <v>0</v>
      </c>
      <c r="I78" s="7">
        <v>0</v>
      </c>
      <c r="J78" s="7">
        <v>69.25</v>
      </c>
      <c r="K78" s="7">
        <v>69.25</v>
      </c>
      <c r="M78" s="7">
        <v>0</v>
      </c>
      <c r="N78" s="7">
        <v>0</v>
      </c>
      <c r="O78" s="7">
        <v>0</v>
      </c>
      <c r="Q78" s="33">
        <v>0</v>
      </c>
      <c r="R78" s="33">
        <v>0</v>
      </c>
      <c r="S78" s="33">
        <v>0</v>
      </c>
    </row>
    <row r="79" spans="1:19" x14ac:dyDescent="0.2">
      <c r="A79" s="39">
        <v>59</v>
      </c>
      <c r="B79" s="6" t="s">
        <v>65</v>
      </c>
      <c r="C79" s="6">
        <v>0</v>
      </c>
      <c r="D79" s="6">
        <v>0</v>
      </c>
      <c r="E79" s="6">
        <v>67</v>
      </c>
      <c r="F79" s="23">
        <f t="shared" si="2"/>
        <v>67</v>
      </c>
      <c r="H79" s="7">
        <v>0</v>
      </c>
      <c r="I79" s="7">
        <v>0</v>
      </c>
      <c r="J79" s="7">
        <v>67.349999999999994</v>
      </c>
      <c r="K79" s="7">
        <v>67.349999999999994</v>
      </c>
      <c r="M79" s="7">
        <v>0</v>
      </c>
      <c r="N79" s="7">
        <v>152.01014000000001</v>
      </c>
      <c r="O79" s="7">
        <v>152.01014000000001</v>
      </c>
      <c r="Q79" s="33">
        <v>0</v>
      </c>
      <c r="R79" s="33">
        <v>2277.6999999999998</v>
      </c>
      <c r="S79" s="33">
        <v>2277.6999999999998</v>
      </c>
    </row>
    <row r="80" spans="1:19" x14ac:dyDescent="0.2">
      <c r="A80" s="39">
        <v>60</v>
      </c>
      <c r="B80" s="6" t="s">
        <v>66</v>
      </c>
      <c r="C80" s="6">
        <v>15</v>
      </c>
      <c r="D80" s="6">
        <v>1</v>
      </c>
      <c r="E80" s="6">
        <v>218</v>
      </c>
      <c r="F80" s="23">
        <f t="shared" si="2"/>
        <v>234</v>
      </c>
      <c r="H80" s="7">
        <v>110.53</v>
      </c>
      <c r="I80" s="7">
        <v>114</v>
      </c>
      <c r="J80" s="7">
        <v>73</v>
      </c>
      <c r="K80" s="7">
        <v>75.760000000000005</v>
      </c>
      <c r="M80" s="7">
        <v>458.16068999999999</v>
      </c>
      <c r="N80" s="7">
        <v>266.72212999999999</v>
      </c>
      <c r="O80" s="7">
        <v>307.1669</v>
      </c>
      <c r="Q80" s="33">
        <v>4208.28</v>
      </c>
      <c r="R80" s="33">
        <v>3354.72</v>
      </c>
      <c r="S80" s="33">
        <v>3535.05</v>
      </c>
    </row>
    <row r="81" spans="1:19" x14ac:dyDescent="0.2">
      <c r="A81" s="39">
        <v>61</v>
      </c>
      <c r="B81" s="6" t="s">
        <v>67</v>
      </c>
      <c r="C81" s="6">
        <v>0</v>
      </c>
      <c r="D81" s="6">
        <v>0</v>
      </c>
      <c r="E81" s="6">
        <v>116</v>
      </c>
      <c r="F81" s="23">
        <f t="shared" si="2"/>
        <v>116</v>
      </c>
      <c r="H81" s="7">
        <v>0</v>
      </c>
      <c r="I81" s="7">
        <v>0</v>
      </c>
      <c r="J81" s="7">
        <v>70.78</v>
      </c>
      <c r="K81" s="7">
        <v>70.78</v>
      </c>
      <c r="M81" s="7">
        <v>0</v>
      </c>
      <c r="N81" s="7">
        <v>233.84182000000001</v>
      </c>
      <c r="O81" s="7">
        <v>233.84182000000001</v>
      </c>
      <c r="Q81" s="33">
        <v>0</v>
      </c>
      <c r="R81" s="33">
        <v>3369.94</v>
      </c>
      <c r="S81" s="33">
        <v>3369.94</v>
      </c>
    </row>
    <row r="82" spans="1:19" x14ac:dyDescent="0.2">
      <c r="A82" s="39">
        <v>62</v>
      </c>
      <c r="B82" s="29" t="s">
        <v>68</v>
      </c>
      <c r="C82" s="29">
        <v>1</v>
      </c>
      <c r="D82" s="29">
        <v>0</v>
      </c>
      <c r="E82" s="29">
        <v>40</v>
      </c>
      <c r="F82" s="23">
        <f t="shared" si="2"/>
        <v>41</v>
      </c>
      <c r="G82" s="30"/>
      <c r="H82" s="31">
        <v>73</v>
      </c>
      <c r="I82" s="31">
        <v>0</v>
      </c>
      <c r="J82" s="31">
        <v>70.97</v>
      </c>
      <c r="K82" s="31">
        <v>71.02</v>
      </c>
      <c r="L82" s="31"/>
      <c r="M82" s="7">
        <v>0</v>
      </c>
      <c r="N82" s="7">
        <v>231.34541000000002</v>
      </c>
      <c r="O82" s="7">
        <v>247.86258999999998</v>
      </c>
      <c r="P82" s="31"/>
      <c r="Q82" s="37">
        <v>0</v>
      </c>
      <c r="R82" s="37">
        <v>3484.78</v>
      </c>
      <c r="S82" s="37">
        <v>3675.97</v>
      </c>
    </row>
    <row r="83" spans="1:19" x14ac:dyDescent="0.2">
      <c r="A83" s="39">
        <v>63</v>
      </c>
      <c r="B83" s="1" t="s">
        <v>69</v>
      </c>
      <c r="C83" s="6">
        <v>3</v>
      </c>
      <c r="D83" s="6">
        <v>0</v>
      </c>
      <c r="E83" s="6">
        <v>74</v>
      </c>
      <c r="F83" s="23">
        <f t="shared" si="2"/>
        <v>77</v>
      </c>
      <c r="H83" s="7">
        <v>0</v>
      </c>
      <c r="I83" s="7">
        <v>0</v>
      </c>
      <c r="J83" s="7">
        <v>73.41</v>
      </c>
      <c r="K83" s="7">
        <v>73.41</v>
      </c>
      <c r="M83" s="7">
        <v>0</v>
      </c>
      <c r="N83" s="7">
        <v>244.75</v>
      </c>
      <c r="O83" s="7">
        <v>244.75</v>
      </c>
      <c r="Q83" s="33">
        <v>0</v>
      </c>
      <c r="R83" s="33">
        <v>3141.94</v>
      </c>
      <c r="S83" s="33">
        <v>3141.94</v>
      </c>
    </row>
    <row r="84" spans="1:19" x14ac:dyDescent="0.2">
      <c r="A84" s="39">
        <v>64</v>
      </c>
      <c r="B84" s="1" t="s">
        <v>70</v>
      </c>
      <c r="C84" s="6">
        <v>3</v>
      </c>
      <c r="D84" s="6">
        <v>0</v>
      </c>
      <c r="E84" s="6">
        <v>188</v>
      </c>
      <c r="F84" s="23">
        <f t="shared" si="2"/>
        <v>191</v>
      </c>
      <c r="H84" s="7">
        <v>74.5</v>
      </c>
      <c r="I84" s="7">
        <v>0</v>
      </c>
      <c r="J84" s="7">
        <v>70.81</v>
      </c>
      <c r="K84" s="7">
        <v>70.849999999999994</v>
      </c>
      <c r="M84" s="7">
        <v>248</v>
      </c>
      <c r="N84" s="7">
        <v>279.37559000000005</v>
      </c>
      <c r="O84" s="7">
        <v>278.99061</v>
      </c>
      <c r="Q84" s="33">
        <v>3429.12</v>
      </c>
      <c r="R84" s="33">
        <v>4025.75</v>
      </c>
      <c r="S84" s="33">
        <v>4018.43</v>
      </c>
    </row>
    <row r="85" spans="1:19" x14ac:dyDescent="0.2">
      <c r="A85" s="39">
        <v>65</v>
      </c>
      <c r="B85" s="1" t="s">
        <v>71</v>
      </c>
      <c r="C85" s="6">
        <v>15</v>
      </c>
      <c r="D85" s="6">
        <v>0</v>
      </c>
      <c r="E85" s="6">
        <v>88</v>
      </c>
      <c r="F85" s="23">
        <f t="shared" ref="F85:F93" si="3">SUM(C85:E85)</f>
        <v>103</v>
      </c>
      <c r="H85" s="7">
        <v>73.209999999999994</v>
      </c>
      <c r="I85" s="7">
        <v>0</v>
      </c>
      <c r="J85" s="7">
        <v>71.63</v>
      </c>
      <c r="K85" s="7">
        <v>71.88</v>
      </c>
      <c r="M85" s="7">
        <v>377.70357000000001</v>
      </c>
      <c r="N85" s="7">
        <v>270.25496000000004</v>
      </c>
      <c r="O85" s="7">
        <v>309.84128999999996</v>
      </c>
      <c r="Q85" s="33">
        <v>5361.1</v>
      </c>
      <c r="R85" s="33">
        <v>3610.19</v>
      </c>
      <c r="S85" s="33">
        <v>4255.26</v>
      </c>
    </row>
    <row r="86" spans="1:19" x14ac:dyDescent="0.2">
      <c r="A86" s="39">
        <v>66</v>
      </c>
      <c r="B86" s="1" t="s">
        <v>72</v>
      </c>
      <c r="C86" s="6">
        <v>11</v>
      </c>
      <c r="D86" s="6">
        <v>3</v>
      </c>
      <c r="E86" s="6">
        <v>62</v>
      </c>
      <c r="F86" s="23">
        <f t="shared" si="3"/>
        <v>76</v>
      </c>
      <c r="H86" s="7">
        <v>102.2</v>
      </c>
      <c r="I86" s="7">
        <v>60.67</v>
      </c>
      <c r="J86" s="7">
        <v>74.790000000000006</v>
      </c>
      <c r="K86" s="7">
        <v>78.05</v>
      </c>
      <c r="M86" s="7">
        <v>610.85715000000005</v>
      </c>
      <c r="N86" s="7">
        <v>343.17009999999999</v>
      </c>
      <c r="O86" s="7">
        <v>387.05321999999995</v>
      </c>
      <c r="Q86" s="33">
        <v>6021.48</v>
      </c>
      <c r="R86" s="33">
        <v>4884.62</v>
      </c>
      <c r="S86" s="33">
        <v>5070.99</v>
      </c>
    </row>
    <row r="87" spans="1:19" x14ac:dyDescent="0.2">
      <c r="A87" s="39">
        <v>67</v>
      </c>
      <c r="B87" s="1" t="s">
        <v>73</v>
      </c>
      <c r="C87" s="6">
        <v>2</v>
      </c>
      <c r="D87" s="6">
        <v>0</v>
      </c>
      <c r="E87" s="6">
        <v>39</v>
      </c>
      <c r="F87" s="23">
        <f t="shared" si="3"/>
        <v>41</v>
      </c>
      <c r="H87" s="7">
        <v>110</v>
      </c>
      <c r="I87" s="7">
        <v>0</v>
      </c>
      <c r="J87" s="7">
        <v>80.209999999999994</v>
      </c>
      <c r="K87" s="7">
        <v>80.97</v>
      </c>
      <c r="M87" s="7">
        <v>0</v>
      </c>
      <c r="N87" s="7">
        <v>446.57022999999998</v>
      </c>
      <c r="O87" s="7">
        <v>454.22228000000001</v>
      </c>
      <c r="Q87" s="33">
        <v>0</v>
      </c>
      <c r="R87" s="33">
        <v>5733.77</v>
      </c>
      <c r="S87" s="33">
        <v>5760.41</v>
      </c>
    </row>
    <row r="88" spans="1:19" x14ac:dyDescent="0.2">
      <c r="A88" s="39">
        <v>68</v>
      </c>
      <c r="B88" s="1" t="s">
        <v>74</v>
      </c>
      <c r="C88" s="6">
        <v>42</v>
      </c>
      <c r="D88" s="6">
        <v>0</v>
      </c>
      <c r="E88" s="6">
        <v>115</v>
      </c>
      <c r="F88" s="23">
        <f t="shared" si="3"/>
        <v>157</v>
      </c>
      <c r="H88" s="7">
        <v>72.73</v>
      </c>
      <c r="I88" s="7">
        <v>0</v>
      </c>
      <c r="J88" s="7">
        <v>72.849999999999994</v>
      </c>
      <c r="K88" s="7">
        <v>72.819999999999993</v>
      </c>
      <c r="M88" s="21">
        <v>462.23035999999996</v>
      </c>
      <c r="N88" s="21">
        <v>356.82306</v>
      </c>
      <c r="O88" s="21">
        <v>386.62788</v>
      </c>
      <c r="P88" s="21"/>
      <c r="Q88" s="36">
        <v>6456.21</v>
      </c>
      <c r="R88" s="36">
        <v>4777.2299999999996</v>
      </c>
      <c r="S88" s="33">
        <v>5251.98</v>
      </c>
    </row>
    <row r="89" spans="1:19" x14ac:dyDescent="0.2">
      <c r="A89" s="39">
        <v>69</v>
      </c>
      <c r="B89" s="1" t="s">
        <v>75</v>
      </c>
      <c r="C89" s="6">
        <v>6</v>
      </c>
      <c r="D89" s="6">
        <v>2</v>
      </c>
      <c r="E89" s="6">
        <v>52</v>
      </c>
      <c r="F89" s="23">
        <f t="shared" si="3"/>
        <v>60</v>
      </c>
      <c r="H89" s="7">
        <v>66.5</v>
      </c>
      <c r="I89" s="7">
        <v>77</v>
      </c>
      <c r="J89" s="7">
        <v>89.53</v>
      </c>
      <c r="K89" s="7">
        <v>86.45</v>
      </c>
      <c r="M89" s="7">
        <v>282</v>
      </c>
      <c r="N89" s="7">
        <v>484.286</v>
      </c>
      <c r="O89" s="7">
        <v>460.01168000000001</v>
      </c>
      <c r="Q89" s="33">
        <v>4231.33</v>
      </c>
      <c r="R89" s="33">
        <v>5290.11</v>
      </c>
      <c r="S89" s="33">
        <v>5163.0600000000004</v>
      </c>
    </row>
    <row r="90" spans="1:19" x14ac:dyDescent="0.2">
      <c r="A90" s="39">
        <v>70</v>
      </c>
      <c r="B90" s="1" t="s">
        <v>76</v>
      </c>
      <c r="C90" s="6">
        <v>25</v>
      </c>
      <c r="D90" s="6">
        <v>1</v>
      </c>
      <c r="E90" s="6">
        <v>134</v>
      </c>
      <c r="F90" s="23">
        <f t="shared" si="3"/>
        <v>160</v>
      </c>
      <c r="H90" s="7">
        <v>75</v>
      </c>
      <c r="I90" s="7">
        <v>62</v>
      </c>
      <c r="J90" s="7">
        <v>60.36</v>
      </c>
      <c r="K90" s="7">
        <v>62.83</v>
      </c>
      <c r="M90" s="7">
        <v>336.90833000000003</v>
      </c>
      <c r="N90" s="7">
        <v>157.88642999999999</v>
      </c>
      <c r="O90" s="7">
        <v>191.98584</v>
      </c>
      <c r="Q90" s="33">
        <v>4178.84</v>
      </c>
      <c r="R90" s="33">
        <v>2406.6999999999998</v>
      </c>
      <c r="S90" s="33">
        <v>2744.25</v>
      </c>
    </row>
    <row r="91" spans="1:19" x14ac:dyDescent="0.2">
      <c r="A91" s="39">
        <v>71</v>
      </c>
      <c r="B91" s="1" t="s">
        <v>77</v>
      </c>
      <c r="C91" s="6">
        <v>15</v>
      </c>
      <c r="D91" s="6">
        <v>10</v>
      </c>
      <c r="E91" s="6">
        <v>64</v>
      </c>
      <c r="F91" s="23">
        <f t="shared" si="3"/>
        <v>89</v>
      </c>
      <c r="H91" s="7">
        <v>63.07</v>
      </c>
      <c r="I91" s="7">
        <v>73.89</v>
      </c>
      <c r="J91" s="7">
        <v>74.650000000000006</v>
      </c>
      <c r="K91" s="7">
        <v>72.48</v>
      </c>
      <c r="M91" s="7">
        <v>216.05070999999998</v>
      </c>
      <c r="N91" s="7">
        <v>264.15115999999995</v>
      </c>
      <c r="O91" s="7">
        <v>252.33701000000002</v>
      </c>
      <c r="Q91" s="33">
        <v>3465.12</v>
      </c>
      <c r="R91" s="33">
        <v>3579.4</v>
      </c>
      <c r="S91" s="33">
        <v>3551.33</v>
      </c>
    </row>
    <row r="92" spans="1:19" x14ac:dyDescent="0.2">
      <c r="A92" s="39">
        <v>72</v>
      </c>
      <c r="B92" s="1" t="s">
        <v>78</v>
      </c>
      <c r="C92" s="6">
        <v>0</v>
      </c>
      <c r="D92" s="6">
        <v>0</v>
      </c>
      <c r="E92" s="6">
        <v>112</v>
      </c>
      <c r="F92" s="23">
        <f t="shared" si="3"/>
        <v>112</v>
      </c>
      <c r="H92" s="7">
        <v>0</v>
      </c>
      <c r="I92" s="7">
        <v>0</v>
      </c>
      <c r="J92" s="7">
        <v>69.14</v>
      </c>
      <c r="K92" s="7">
        <v>69.14</v>
      </c>
      <c r="M92" s="7">
        <v>0</v>
      </c>
      <c r="N92" s="7">
        <v>212.11223999999999</v>
      </c>
      <c r="O92" s="7">
        <v>212.11223999999999</v>
      </c>
      <c r="Q92" s="33">
        <v>0</v>
      </c>
      <c r="R92" s="33">
        <v>3025.31</v>
      </c>
      <c r="S92" s="33">
        <v>3025.31</v>
      </c>
    </row>
    <row r="93" spans="1:19" x14ac:dyDescent="0.2">
      <c r="A93" s="40">
        <v>73</v>
      </c>
      <c r="B93" s="16" t="s">
        <v>79</v>
      </c>
      <c r="C93" s="18">
        <v>0</v>
      </c>
      <c r="D93" s="18">
        <v>0</v>
      </c>
      <c r="E93" s="18">
        <v>133</v>
      </c>
      <c r="F93" s="32">
        <f t="shared" si="3"/>
        <v>133</v>
      </c>
      <c r="G93" s="16"/>
      <c r="H93" s="17">
        <v>0</v>
      </c>
      <c r="I93" s="17">
        <v>0</v>
      </c>
      <c r="J93" s="17">
        <v>72.790000000000006</v>
      </c>
      <c r="K93" s="17">
        <v>72.790000000000006</v>
      </c>
      <c r="L93" s="17"/>
      <c r="M93" s="17">
        <v>0</v>
      </c>
      <c r="N93" s="17">
        <v>168.59734</v>
      </c>
      <c r="O93" s="17">
        <v>168.59734</v>
      </c>
      <c r="P93" s="17"/>
      <c r="Q93" s="38">
        <v>0</v>
      </c>
      <c r="R93" s="38">
        <v>2345.84</v>
      </c>
      <c r="S93" s="38">
        <v>2345.84</v>
      </c>
    </row>
    <row r="95" spans="1:19" x14ac:dyDescent="0.2">
      <c r="B95" s="22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ull1"/>
  <dimension ref="A1:S95"/>
  <sheetViews>
    <sheetView workbookViewId="0"/>
  </sheetViews>
  <sheetFormatPr defaultColWidth="11.42578125" defaultRowHeight="12" x14ac:dyDescent="0.2"/>
  <cols>
    <col min="1" max="1" width="4.85546875" style="1" customWidth="1"/>
    <col min="2" max="2" width="35.7109375" style="1" customWidth="1"/>
    <col min="3" max="6" width="10.7109375" style="6" customWidth="1"/>
    <col min="7" max="7" width="2.7109375" style="1" customWidth="1"/>
    <col min="8" max="11" width="10.7109375" style="7" customWidth="1"/>
    <col min="12" max="12" width="2.7109375" style="7" customWidth="1"/>
    <col min="13" max="15" width="10.7109375" style="7" customWidth="1"/>
    <col min="16" max="16" width="2.7109375" style="7" customWidth="1"/>
    <col min="17" max="19" width="10.7109375" style="7" customWidth="1"/>
    <col min="20" max="16384" width="11.42578125" style="1"/>
  </cols>
  <sheetData>
    <row r="1" spans="1:19" ht="15" x14ac:dyDescent="0.25">
      <c r="A1" s="2" t="s">
        <v>93</v>
      </c>
    </row>
    <row r="2" spans="1:19" ht="12.75" x14ac:dyDescent="0.2">
      <c r="A2" s="20" t="s">
        <v>97</v>
      </c>
    </row>
    <row r="3" spans="1:19" x14ac:dyDescent="0.2">
      <c r="A3" s="1" t="s">
        <v>98</v>
      </c>
    </row>
    <row r="4" spans="1:19" ht="13.5" x14ac:dyDescent="0.2">
      <c r="C4" s="12" t="s">
        <v>4</v>
      </c>
      <c r="D4" s="13"/>
      <c r="E4" s="13"/>
      <c r="F4" s="13"/>
      <c r="H4" s="8" t="s">
        <v>94</v>
      </c>
      <c r="I4" s="9"/>
      <c r="J4" s="9"/>
      <c r="K4" s="9"/>
      <c r="M4" s="8" t="s">
        <v>6</v>
      </c>
      <c r="N4" s="8"/>
      <c r="O4" s="8"/>
      <c r="Q4" s="8" t="s">
        <v>7</v>
      </c>
      <c r="R4" s="8"/>
      <c r="S4" s="8"/>
    </row>
    <row r="5" spans="1:19" s="3" customFormat="1" ht="24" x14ac:dyDescent="0.2">
      <c r="A5" s="4" t="s">
        <v>92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10" t="s">
        <v>5</v>
      </c>
      <c r="N5" s="10" t="s">
        <v>2</v>
      </c>
      <c r="O5" s="10" t="s">
        <v>3</v>
      </c>
      <c r="P5" s="11"/>
      <c r="Q5" s="10" t="s">
        <v>5</v>
      </c>
      <c r="R5" s="10" t="s">
        <v>2</v>
      </c>
      <c r="S5" s="10" t="s">
        <v>3</v>
      </c>
    </row>
    <row r="6" spans="1:19" s="3" customFormat="1" x14ac:dyDescent="0.2">
      <c r="B6" s="19" t="s">
        <v>96</v>
      </c>
      <c r="C6" s="6">
        <v>310</v>
      </c>
      <c r="D6" s="6">
        <v>17</v>
      </c>
      <c r="E6" s="6">
        <v>3634</v>
      </c>
      <c r="F6" s="6">
        <f t="shared" ref="F6" si="0">SUM(C6:E6)</f>
        <v>3961</v>
      </c>
      <c r="G6" s="1"/>
      <c r="H6" s="7">
        <v>84.52</v>
      </c>
      <c r="I6" s="7">
        <v>69.73</v>
      </c>
      <c r="J6" s="7">
        <v>78.069999999999993</v>
      </c>
      <c r="K6" s="7">
        <v>78.55</v>
      </c>
      <c r="L6" s="1"/>
      <c r="M6" s="7">
        <v>419.98690999999997</v>
      </c>
      <c r="N6" s="7">
        <v>351.04829999999998</v>
      </c>
      <c r="O6" s="7">
        <v>357.91699999999997</v>
      </c>
      <c r="P6" s="1"/>
      <c r="Q6" s="33">
        <v>4677.68</v>
      </c>
      <c r="R6" s="33">
        <v>4194.95</v>
      </c>
      <c r="S6" s="33">
        <v>4243.05</v>
      </c>
    </row>
    <row r="7" spans="1:19" s="3" customFormat="1" x14ac:dyDescent="0.2">
      <c r="B7" s="24"/>
      <c r="C7" s="23"/>
      <c r="D7" s="23"/>
      <c r="E7" s="23"/>
      <c r="F7" s="23"/>
      <c r="G7" s="24"/>
      <c r="H7" s="25"/>
      <c r="I7" s="25"/>
      <c r="J7" s="25"/>
      <c r="K7" s="25"/>
      <c r="L7" s="26"/>
      <c r="M7" s="25"/>
      <c r="N7" s="25"/>
      <c r="O7" s="25"/>
      <c r="P7" s="26"/>
      <c r="Q7" s="34"/>
      <c r="R7" s="34"/>
      <c r="S7" s="34"/>
    </row>
    <row r="8" spans="1:19" s="3" customFormat="1" x14ac:dyDescent="0.2">
      <c r="B8" s="15" t="s">
        <v>90</v>
      </c>
      <c r="C8" s="23"/>
      <c r="D8" s="23"/>
      <c r="E8" s="23"/>
      <c r="F8" s="23"/>
      <c r="G8" s="24"/>
      <c r="H8" s="25"/>
      <c r="I8" s="25"/>
      <c r="J8" s="25"/>
      <c r="K8" s="25"/>
      <c r="L8" s="26"/>
      <c r="M8" s="25"/>
      <c r="N8" s="25"/>
      <c r="O8" s="25"/>
      <c r="P8" s="26"/>
      <c r="Q8" s="34"/>
      <c r="R8" s="34"/>
      <c r="S8" s="34"/>
    </row>
    <row r="9" spans="1:19" s="3" customFormat="1" x14ac:dyDescent="0.2">
      <c r="A9" s="39">
        <v>1</v>
      </c>
      <c r="B9" s="24" t="s">
        <v>81</v>
      </c>
      <c r="C9" s="23">
        <v>13</v>
      </c>
      <c r="D9" s="23">
        <v>0</v>
      </c>
      <c r="E9" s="23">
        <v>373</v>
      </c>
      <c r="F9" s="23">
        <f t="shared" ref="F9:F18" si="1">SUM(C9:E9)</f>
        <v>386</v>
      </c>
      <c r="G9" s="24"/>
      <c r="H9" s="25">
        <v>66.89</v>
      </c>
      <c r="I9" s="25">
        <v>0</v>
      </c>
      <c r="J9" s="25">
        <v>66.180000000000007</v>
      </c>
      <c r="K9" s="25">
        <v>66.2</v>
      </c>
      <c r="L9" s="26"/>
      <c r="M9" s="25">
        <v>320.77778000000001</v>
      </c>
      <c r="N9" s="25">
        <v>269.69592999999998</v>
      </c>
      <c r="O9" s="25">
        <v>271.09330999999997</v>
      </c>
      <c r="P9" s="26"/>
      <c r="Q9" s="34">
        <v>4874.58</v>
      </c>
      <c r="R9" s="34">
        <v>4153.18</v>
      </c>
      <c r="S9" s="34">
        <v>4172.91</v>
      </c>
    </row>
    <row r="10" spans="1:19" s="3" customFormat="1" x14ac:dyDescent="0.2">
      <c r="A10" s="39">
        <v>2</v>
      </c>
      <c r="B10" s="24" t="s">
        <v>82</v>
      </c>
      <c r="C10" s="23">
        <v>45</v>
      </c>
      <c r="D10" s="23">
        <v>2</v>
      </c>
      <c r="E10" s="23">
        <v>551</v>
      </c>
      <c r="F10" s="23">
        <f t="shared" si="1"/>
        <v>598</v>
      </c>
      <c r="G10" s="24"/>
      <c r="H10" s="25">
        <v>89.88</v>
      </c>
      <c r="I10" s="25">
        <v>69.5</v>
      </c>
      <c r="J10" s="25">
        <v>90.71</v>
      </c>
      <c r="K10" s="25">
        <v>90.57</v>
      </c>
      <c r="L10" s="26"/>
      <c r="M10" s="25">
        <v>587.42399999999998</v>
      </c>
      <c r="N10" s="25">
        <v>446.99104</v>
      </c>
      <c r="O10" s="25">
        <v>458.39253000000002</v>
      </c>
      <c r="P10" s="26"/>
      <c r="Q10" s="34">
        <v>6018.25</v>
      </c>
      <c r="R10" s="34">
        <v>4880.7700000000004</v>
      </c>
      <c r="S10" s="34">
        <v>4973.12</v>
      </c>
    </row>
    <row r="11" spans="1:19" s="3" customFormat="1" x14ac:dyDescent="0.2">
      <c r="A11" s="39">
        <v>3</v>
      </c>
      <c r="B11" s="24" t="s">
        <v>83</v>
      </c>
      <c r="C11" s="23">
        <v>52</v>
      </c>
      <c r="D11" s="23">
        <v>0</v>
      </c>
      <c r="E11" s="23">
        <v>464</v>
      </c>
      <c r="F11" s="23">
        <f t="shared" si="1"/>
        <v>516</v>
      </c>
      <c r="G11" s="24"/>
      <c r="H11" s="25">
        <v>84.21</v>
      </c>
      <c r="I11" s="25">
        <v>0</v>
      </c>
      <c r="J11" s="25">
        <v>67.05</v>
      </c>
      <c r="K11" s="25">
        <v>68.87</v>
      </c>
      <c r="L11" s="26"/>
      <c r="M11" s="25">
        <v>314.01096000000001</v>
      </c>
      <c r="N11" s="25">
        <v>242.68151999999998</v>
      </c>
      <c r="O11" s="25">
        <v>253.65528</v>
      </c>
      <c r="P11" s="26"/>
      <c r="Q11" s="34">
        <v>3581.72</v>
      </c>
      <c r="R11" s="34">
        <v>3684.08</v>
      </c>
      <c r="S11" s="34">
        <v>3668.33</v>
      </c>
    </row>
    <row r="12" spans="1:19" s="3" customFormat="1" x14ac:dyDescent="0.2">
      <c r="A12" s="39">
        <v>4</v>
      </c>
      <c r="B12" s="24" t="s">
        <v>84</v>
      </c>
      <c r="C12" s="23">
        <v>9</v>
      </c>
      <c r="D12" s="23">
        <v>0</v>
      </c>
      <c r="E12" s="23">
        <v>150</v>
      </c>
      <c r="F12" s="23">
        <f t="shared" si="1"/>
        <v>159</v>
      </c>
      <c r="G12" s="24"/>
      <c r="H12" s="25">
        <v>114.37</v>
      </c>
      <c r="I12" s="25">
        <v>0</v>
      </c>
      <c r="J12" s="25">
        <v>94.02</v>
      </c>
      <c r="K12" s="25">
        <v>95.21</v>
      </c>
      <c r="L12" s="26"/>
      <c r="M12" s="27">
        <v>651.29624999999999</v>
      </c>
      <c r="N12" s="27">
        <v>515.62201000000005</v>
      </c>
      <c r="O12" s="27">
        <v>524.82025999999996</v>
      </c>
      <c r="P12" s="28"/>
      <c r="Q12" s="35">
        <v>5570.07</v>
      </c>
      <c r="R12" s="35">
        <v>5055.08</v>
      </c>
      <c r="S12" s="35">
        <v>5089.99</v>
      </c>
    </row>
    <row r="13" spans="1:19" s="3" customFormat="1" x14ac:dyDescent="0.2">
      <c r="A13" s="39">
        <v>5</v>
      </c>
      <c r="B13" s="24" t="s">
        <v>85</v>
      </c>
      <c r="C13" s="23">
        <v>31</v>
      </c>
      <c r="D13" s="23">
        <v>0</v>
      </c>
      <c r="E13" s="23">
        <v>267</v>
      </c>
      <c r="F13" s="23">
        <f t="shared" si="1"/>
        <v>298</v>
      </c>
      <c r="G13" s="24"/>
      <c r="H13" s="25">
        <v>121.7</v>
      </c>
      <c r="I13" s="25">
        <v>0</v>
      </c>
      <c r="J13" s="25">
        <v>125.55</v>
      </c>
      <c r="K13" s="25">
        <v>125.15</v>
      </c>
      <c r="L13" s="26"/>
      <c r="M13" s="27">
        <v>760.18832999999995</v>
      </c>
      <c r="N13" s="27">
        <v>716.25390000000004</v>
      </c>
      <c r="O13" s="27">
        <v>720.97991999999999</v>
      </c>
      <c r="P13" s="28"/>
      <c r="Q13" s="35">
        <v>5870.91</v>
      </c>
      <c r="R13" s="35">
        <v>5626.66</v>
      </c>
      <c r="S13" s="35">
        <v>5652.93</v>
      </c>
    </row>
    <row r="14" spans="1:19" s="3" customFormat="1" x14ac:dyDescent="0.2">
      <c r="A14" s="39">
        <v>6</v>
      </c>
      <c r="B14" s="24" t="s">
        <v>86</v>
      </c>
      <c r="C14" s="23">
        <v>27</v>
      </c>
      <c r="D14" s="23">
        <v>0</v>
      </c>
      <c r="E14" s="23">
        <v>317</v>
      </c>
      <c r="F14" s="23">
        <f t="shared" si="1"/>
        <v>344</v>
      </c>
      <c r="G14" s="24"/>
      <c r="H14" s="25">
        <v>89.78</v>
      </c>
      <c r="I14" s="25">
        <v>0</v>
      </c>
      <c r="J14" s="25">
        <v>78.69</v>
      </c>
      <c r="K14" s="25">
        <v>79.569999999999993</v>
      </c>
      <c r="L14" s="26"/>
      <c r="M14" s="27">
        <v>488.86356000000001</v>
      </c>
      <c r="N14" s="27">
        <v>354.21251000000001</v>
      </c>
      <c r="O14" s="27">
        <v>365.04109000000005</v>
      </c>
      <c r="P14" s="28"/>
      <c r="Q14" s="35">
        <v>5529.97</v>
      </c>
      <c r="R14" s="35">
        <v>4605.47</v>
      </c>
      <c r="S14" s="35">
        <v>4679.8100000000004</v>
      </c>
    </row>
    <row r="15" spans="1:19" s="3" customFormat="1" x14ac:dyDescent="0.2">
      <c r="A15" s="39">
        <v>7</v>
      </c>
      <c r="B15" s="24" t="s">
        <v>87</v>
      </c>
      <c r="C15" s="23">
        <v>47</v>
      </c>
      <c r="D15" s="23">
        <v>3</v>
      </c>
      <c r="E15" s="23">
        <v>289</v>
      </c>
      <c r="F15" s="23">
        <f t="shared" si="1"/>
        <v>339</v>
      </c>
      <c r="G15" s="24"/>
      <c r="H15" s="25">
        <v>60.1</v>
      </c>
      <c r="I15" s="25">
        <v>65</v>
      </c>
      <c r="J15" s="25">
        <v>74.25</v>
      </c>
      <c r="K15" s="25">
        <v>72.2</v>
      </c>
      <c r="L15" s="26"/>
      <c r="M15" s="27">
        <v>173.9495</v>
      </c>
      <c r="N15" s="27">
        <v>227.99363</v>
      </c>
      <c r="O15" s="27">
        <v>219.88701</v>
      </c>
      <c r="P15" s="28"/>
      <c r="Q15" s="35">
        <v>3016.47</v>
      </c>
      <c r="R15" s="35">
        <v>3258.42</v>
      </c>
      <c r="S15" s="35">
        <v>3222.12</v>
      </c>
    </row>
    <row r="16" spans="1:19" s="3" customFormat="1" x14ac:dyDescent="0.2">
      <c r="A16" s="39">
        <v>8</v>
      </c>
      <c r="B16" s="24" t="s">
        <v>88</v>
      </c>
      <c r="C16" s="23">
        <v>12</v>
      </c>
      <c r="D16" s="23">
        <v>0</v>
      </c>
      <c r="E16" s="23">
        <v>397</v>
      </c>
      <c r="F16" s="23">
        <f t="shared" si="1"/>
        <v>409</v>
      </c>
      <c r="G16" s="24"/>
      <c r="H16" s="25">
        <v>86</v>
      </c>
      <c r="I16" s="25">
        <v>0</v>
      </c>
      <c r="J16" s="25">
        <v>62.89</v>
      </c>
      <c r="K16" s="25">
        <v>63.36</v>
      </c>
      <c r="L16" s="26"/>
      <c r="M16" s="27">
        <v>206.88570999999999</v>
      </c>
      <c r="N16" s="27">
        <v>170.67286999999999</v>
      </c>
      <c r="O16" s="27">
        <v>172.55058</v>
      </c>
      <c r="P16" s="28"/>
      <c r="Q16" s="35">
        <v>2695.67</v>
      </c>
      <c r="R16" s="35">
        <v>2599.38</v>
      </c>
      <c r="S16" s="35">
        <v>2604.37</v>
      </c>
    </row>
    <row r="17" spans="1:19" s="3" customFormat="1" x14ac:dyDescent="0.2">
      <c r="A17" s="39">
        <v>9</v>
      </c>
      <c r="B17" s="24" t="s">
        <v>66</v>
      </c>
      <c r="C17" s="23">
        <v>6</v>
      </c>
      <c r="D17" s="23">
        <v>0</v>
      </c>
      <c r="E17" s="23">
        <v>294</v>
      </c>
      <c r="F17" s="23">
        <f t="shared" si="1"/>
        <v>300</v>
      </c>
      <c r="G17" s="24"/>
      <c r="H17" s="25">
        <v>94.83</v>
      </c>
      <c r="I17" s="25">
        <v>0</v>
      </c>
      <c r="J17" s="25">
        <v>71.180000000000007</v>
      </c>
      <c r="K17" s="25">
        <v>71.7</v>
      </c>
      <c r="L17" s="26"/>
      <c r="M17" s="27">
        <v>416.89238</v>
      </c>
      <c r="N17" s="27">
        <v>223.74857</v>
      </c>
      <c r="O17" s="27">
        <v>233.09423999999999</v>
      </c>
      <c r="P17" s="28"/>
      <c r="Q17" s="35">
        <v>4534.0200000000004</v>
      </c>
      <c r="R17" s="35">
        <v>2973.34</v>
      </c>
      <c r="S17" s="35">
        <v>3048.86</v>
      </c>
    </row>
    <row r="18" spans="1:19" s="3" customFormat="1" x14ac:dyDescent="0.2">
      <c r="A18" s="39">
        <v>10</v>
      </c>
      <c r="B18" s="24" t="s">
        <v>89</v>
      </c>
      <c r="C18" s="23">
        <v>67</v>
      </c>
      <c r="D18" s="23">
        <v>12</v>
      </c>
      <c r="E18" s="23">
        <v>501</v>
      </c>
      <c r="F18" s="23">
        <f t="shared" si="1"/>
        <v>580</v>
      </c>
      <c r="G18" s="24"/>
      <c r="H18" s="25">
        <v>77.180000000000007</v>
      </c>
      <c r="I18" s="25">
        <v>70.64</v>
      </c>
      <c r="J18" s="25">
        <v>71.16</v>
      </c>
      <c r="K18" s="25">
        <v>71.88</v>
      </c>
      <c r="L18" s="26"/>
      <c r="M18" s="27">
        <v>393.18977000000001</v>
      </c>
      <c r="N18" s="27">
        <v>282.33103999999997</v>
      </c>
      <c r="O18" s="27">
        <v>299.8202</v>
      </c>
      <c r="P18" s="28"/>
      <c r="Q18" s="35">
        <v>5023.1499999999996</v>
      </c>
      <c r="R18" s="35">
        <v>3840.7</v>
      </c>
      <c r="S18" s="35">
        <v>4027.25</v>
      </c>
    </row>
    <row r="19" spans="1:19" s="3" customFormat="1" x14ac:dyDescent="0.2">
      <c r="A19" s="39"/>
      <c r="B19" s="24"/>
      <c r="C19" s="23"/>
      <c r="D19" s="23"/>
      <c r="E19" s="23"/>
      <c r="F19" s="23"/>
      <c r="G19" s="24"/>
      <c r="H19" s="25"/>
      <c r="I19" s="25"/>
      <c r="J19" s="25"/>
      <c r="K19" s="25"/>
      <c r="L19" s="26"/>
      <c r="M19" s="25"/>
      <c r="N19" s="25"/>
      <c r="O19" s="25"/>
      <c r="P19" s="26"/>
      <c r="Q19" s="34"/>
      <c r="R19" s="34"/>
      <c r="S19" s="34"/>
    </row>
    <row r="20" spans="1:19" s="3" customFormat="1" x14ac:dyDescent="0.2">
      <c r="A20" s="39"/>
      <c r="B20" s="15" t="s">
        <v>91</v>
      </c>
      <c r="C20" s="23"/>
      <c r="D20" s="23"/>
      <c r="E20" s="23"/>
      <c r="F20" s="23"/>
      <c r="G20" s="24"/>
      <c r="H20" s="25"/>
      <c r="I20" s="25"/>
      <c r="J20" s="25"/>
      <c r="K20" s="25"/>
      <c r="L20" s="26"/>
      <c r="M20" s="25"/>
      <c r="N20" s="25"/>
      <c r="O20" s="25"/>
      <c r="P20" s="26"/>
      <c r="Q20" s="34"/>
      <c r="R20" s="34"/>
      <c r="S20" s="34"/>
    </row>
    <row r="21" spans="1:19" x14ac:dyDescent="0.2">
      <c r="A21" s="39">
        <v>1</v>
      </c>
      <c r="B21" s="6" t="s">
        <v>8</v>
      </c>
      <c r="C21" s="6">
        <v>0</v>
      </c>
      <c r="D21" s="6">
        <v>0</v>
      </c>
      <c r="E21" s="6">
        <v>157</v>
      </c>
      <c r="F21" s="23">
        <f t="shared" ref="F21:F84" si="2">SUM(C21:E21)</f>
        <v>157</v>
      </c>
      <c r="H21" s="7">
        <v>0</v>
      </c>
      <c r="I21" s="7">
        <v>0</v>
      </c>
      <c r="J21" s="7">
        <v>63.8</v>
      </c>
      <c r="K21" s="7">
        <v>63.8</v>
      </c>
      <c r="M21" s="7">
        <v>0</v>
      </c>
      <c r="N21" s="7">
        <v>201.31306000000001</v>
      </c>
      <c r="O21" s="7">
        <v>201.31306000000001</v>
      </c>
      <c r="Q21" s="33">
        <v>0</v>
      </c>
      <c r="R21" s="33">
        <v>3163.55</v>
      </c>
      <c r="S21" s="33">
        <v>3163.55</v>
      </c>
    </row>
    <row r="22" spans="1:19" x14ac:dyDescent="0.2">
      <c r="A22" s="39">
        <v>2</v>
      </c>
      <c r="B22" s="6" t="s">
        <v>9</v>
      </c>
      <c r="C22" s="6">
        <v>3</v>
      </c>
      <c r="D22" s="6">
        <v>0</v>
      </c>
      <c r="E22" s="6">
        <v>72</v>
      </c>
      <c r="F22" s="23">
        <f t="shared" si="2"/>
        <v>75</v>
      </c>
      <c r="H22" s="7">
        <v>68.33</v>
      </c>
      <c r="I22" s="7">
        <v>0</v>
      </c>
      <c r="J22" s="7">
        <v>83.55</v>
      </c>
      <c r="K22" s="7">
        <v>82.9</v>
      </c>
      <c r="M22" s="7">
        <v>388.33332999999999</v>
      </c>
      <c r="N22" s="7">
        <v>378.08209000000005</v>
      </c>
      <c r="O22" s="7">
        <v>378.52143000000001</v>
      </c>
      <c r="Q22" s="33">
        <v>5826.86</v>
      </c>
      <c r="R22" s="33">
        <v>4543.6400000000003</v>
      </c>
      <c r="S22" s="33">
        <v>4598.6400000000003</v>
      </c>
    </row>
    <row r="23" spans="1:19" x14ac:dyDescent="0.2">
      <c r="A23" s="39">
        <v>3</v>
      </c>
      <c r="B23" s="6" t="s">
        <v>10</v>
      </c>
      <c r="C23" s="6">
        <v>4</v>
      </c>
      <c r="D23" s="6">
        <v>0</v>
      </c>
      <c r="E23" s="6">
        <v>54</v>
      </c>
      <c r="F23" s="23">
        <f t="shared" si="2"/>
        <v>58</v>
      </c>
      <c r="H23" s="7">
        <v>51.33</v>
      </c>
      <c r="I23" s="7">
        <v>0</v>
      </c>
      <c r="J23" s="7">
        <v>40.65</v>
      </c>
      <c r="K23" s="7">
        <v>41.3</v>
      </c>
      <c r="M23" s="7">
        <v>235</v>
      </c>
      <c r="N23" s="7">
        <v>212.73266000000001</v>
      </c>
      <c r="O23" s="7">
        <v>214.09596999999999</v>
      </c>
      <c r="Q23" s="33">
        <v>4635.41</v>
      </c>
      <c r="R23" s="33">
        <v>5514.18</v>
      </c>
      <c r="S23" s="33">
        <v>5460.38</v>
      </c>
    </row>
    <row r="24" spans="1:19" x14ac:dyDescent="0.2">
      <c r="A24" s="39">
        <v>4</v>
      </c>
      <c r="B24" s="6" t="s">
        <v>11</v>
      </c>
      <c r="C24" s="6">
        <v>6</v>
      </c>
      <c r="D24" s="6">
        <v>0</v>
      </c>
      <c r="E24" s="6">
        <v>90</v>
      </c>
      <c r="F24" s="23">
        <f t="shared" si="2"/>
        <v>96</v>
      </c>
      <c r="H24" s="7">
        <v>81</v>
      </c>
      <c r="I24" s="7">
        <v>0</v>
      </c>
      <c r="J24" s="7">
        <v>70.47</v>
      </c>
      <c r="K24" s="7">
        <v>70.86</v>
      </c>
      <c r="M24" s="7">
        <v>339</v>
      </c>
      <c r="N24" s="7">
        <v>329.87646000000001</v>
      </c>
      <c r="O24" s="7">
        <v>330.23192</v>
      </c>
      <c r="Q24" s="33">
        <v>4161.46</v>
      </c>
      <c r="R24" s="33">
        <v>4732.2700000000004</v>
      </c>
      <c r="S24" s="33">
        <v>4710.03</v>
      </c>
    </row>
    <row r="25" spans="1:19" x14ac:dyDescent="0.2">
      <c r="A25" s="39">
        <v>5</v>
      </c>
      <c r="B25" s="6" t="s">
        <v>12</v>
      </c>
      <c r="C25" s="6">
        <v>0</v>
      </c>
      <c r="D25" s="6">
        <v>0</v>
      </c>
      <c r="E25" s="6">
        <v>62</v>
      </c>
      <c r="F25" s="23">
        <f t="shared" si="2"/>
        <v>62</v>
      </c>
      <c r="H25" s="7">
        <v>0</v>
      </c>
      <c r="I25" s="7">
        <v>0</v>
      </c>
      <c r="J25" s="7">
        <v>80.64</v>
      </c>
      <c r="K25" s="7">
        <v>80.64</v>
      </c>
      <c r="M25" s="7">
        <v>0</v>
      </c>
      <c r="N25" s="7">
        <v>359.64267999999998</v>
      </c>
      <c r="O25" s="7">
        <v>359.64267999999998</v>
      </c>
      <c r="Q25" s="33">
        <v>0</v>
      </c>
      <c r="R25" s="33">
        <v>4535.76</v>
      </c>
      <c r="S25" s="33">
        <v>4535.76</v>
      </c>
    </row>
    <row r="26" spans="1:19" x14ac:dyDescent="0.2">
      <c r="A26" s="39">
        <v>6</v>
      </c>
      <c r="B26" s="6" t="s">
        <v>13</v>
      </c>
      <c r="C26" s="6">
        <v>1</v>
      </c>
      <c r="D26" s="6">
        <v>0</v>
      </c>
      <c r="E26" s="6">
        <v>107</v>
      </c>
      <c r="F26" s="23">
        <f t="shared" si="2"/>
        <v>108</v>
      </c>
      <c r="H26" s="7">
        <v>91</v>
      </c>
      <c r="I26" s="7">
        <v>0</v>
      </c>
      <c r="J26" s="7">
        <v>72.22</v>
      </c>
      <c r="K26" s="7">
        <v>72.430000000000007</v>
      </c>
      <c r="M26" s="7">
        <v>0</v>
      </c>
      <c r="N26" s="7">
        <v>324.34477000000004</v>
      </c>
      <c r="O26" s="7">
        <v>323.72012000000001</v>
      </c>
      <c r="Q26" s="33">
        <v>0</v>
      </c>
      <c r="R26" s="33">
        <v>4641.41</v>
      </c>
      <c r="S26" s="33">
        <v>4622.16</v>
      </c>
    </row>
    <row r="27" spans="1:19" x14ac:dyDescent="0.2">
      <c r="A27" s="39">
        <v>7</v>
      </c>
      <c r="B27" s="6" t="s">
        <v>14</v>
      </c>
      <c r="C27" s="6">
        <v>17</v>
      </c>
      <c r="D27" s="6">
        <v>0</v>
      </c>
      <c r="E27" s="6">
        <v>130</v>
      </c>
      <c r="F27" s="23">
        <f t="shared" si="2"/>
        <v>147</v>
      </c>
      <c r="H27" s="7">
        <v>114.25</v>
      </c>
      <c r="I27" s="7">
        <v>0</v>
      </c>
      <c r="J27" s="7">
        <v>116.81</v>
      </c>
      <c r="K27" s="7">
        <v>116.5</v>
      </c>
      <c r="M27" s="7">
        <v>936.11775999999998</v>
      </c>
      <c r="N27" s="7">
        <v>658.55043999999998</v>
      </c>
      <c r="O27" s="7">
        <v>692.19495999999992</v>
      </c>
      <c r="Q27" s="33">
        <v>8190.43</v>
      </c>
      <c r="R27" s="33">
        <v>5706.5</v>
      </c>
      <c r="S27" s="33">
        <v>6007.58</v>
      </c>
    </row>
    <row r="28" spans="1:19" x14ac:dyDescent="0.2">
      <c r="A28" s="39">
        <v>8</v>
      </c>
      <c r="B28" s="6" t="s">
        <v>15</v>
      </c>
      <c r="C28" s="6">
        <v>5</v>
      </c>
      <c r="D28" s="6">
        <v>0</v>
      </c>
      <c r="E28" s="6">
        <v>96</v>
      </c>
      <c r="F28" s="23">
        <f t="shared" si="2"/>
        <v>101</v>
      </c>
      <c r="H28" s="7">
        <v>95.6</v>
      </c>
      <c r="I28" s="7">
        <v>0</v>
      </c>
      <c r="J28" s="7">
        <v>99.71</v>
      </c>
      <c r="K28" s="7">
        <v>99.48</v>
      </c>
      <c r="M28" s="7">
        <v>684</v>
      </c>
      <c r="N28" s="7">
        <v>499.68425999999999</v>
      </c>
      <c r="O28" s="7">
        <v>510.15674999999999</v>
      </c>
      <c r="Q28" s="33">
        <v>6579.99</v>
      </c>
      <c r="R28" s="33">
        <v>5059.6400000000003</v>
      </c>
      <c r="S28" s="33">
        <v>5146.0200000000004</v>
      </c>
    </row>
    <row r="29" spans="1:19" x14ac:dyDescent="0.2">
      <c r="A29" s="39">
        <v>9</v>
      </c>
      <c r="B29" s="6" t="s">
        <v>16</v>
      </c>
      <c r="C29" s="6">
        <v>22</v>
      </c>
      <c r="D29" s="6">
        <v>1</v>
      </c>
      <c r="E29" s="6">
        <v>77</v>
      </c>
      <c r="F29" s="23">
        <f t="shared" si="2"/>
        <v>100</v>
      </c>
      <c r="H29" s="7">
        <v>67.790000000000006</v>
      </c>
      <c r="I29" s="7">
        <v>64</v>
      </c>
      <c r="J29" s="7">
        <v>76.83</v>
      </c>
      <c r="K29" s="7">
        <v>74.66</v>
      </c>
      <c r="M29" s="7">
        <v>285.07895000000002</v>
      </c>
      <c r="N29" s="7">
        <v>342.36884999999995</v>
      </c>
      <c r="O29" s="7">
        <v>328.76249999999999</v>
      </c>
      <c r="Q29" s="33">
        <v>4201.8</v>
      </c>
      <c r="R29" s="33">
        <v>4466.95</v>
      </c>
      <c r="S29" s="33">
        <v>4403.9799999999996</v>
      </c>
    </row>
    <row r="30" spans="1:19" x14ac:dyDescent="0.2">
      <c r="A30" s="39">
        <v>10</v>
      </c>
      <c r="B30" s="6" t="s">
        <v>17</v>
      </c>
      <c r="C30" s="6">
        <v>0</v>
      </c>
      <c r="D30" s="6">
        <v>1</v>
      </c>
      <c r="E30" s="6">
        <v>79</v>
      </c>
      <c r="F30" s="23">
        <f t="shared" si="2"/>
        <v>80</v>
      </c>
      <c r="H30" s="7">
        <v>0</v>
      </c>
      <c r="I30" s="7">
        <v>75</v>
      </c>
      <c r="J30" s="7">
        <v>81.42</v>
      </c>
      <c r="K30" s="7">
        <v>81.33</v>
      </c>
      <c r="M30" s="7">
        <v>0</v>
      </c>
      <c r="N30" s="7">
        <v>332.58157</v>
      </c>
      <c r="O30" s="7">
        <v>332.58157</v>
      </c>
      <c r="Q30" s="33">
        <v>0</v>
      </c>
      <c r="R30" s="33">
        <v>4147.1899999999996</v>
      </c>
      <c r="S30" s="33">
        <v>4147.1899999999996</v>
      </c>
    </row>
    <row r="31" spans="1:19" x14ac:dyDescent="0.2">
      <c r="A31" s="39">
        <v>11</v>
      </c>
      <c r="B31" s="6" t="s">
        <v>18</v>
      </c>
      <c r="C31" s="6">
        <v>0</v>
      </c>
      <c r="D31" s="6">
        <v>0</v>
      </c>
      <c r="E31" s="6">
        <v>142</v>
      </c>
      <c r="F31" s="23">
        <f t="shared" si="2"/>
        <v>142</v>
      </c>
      <c r="H31" s="7">
        <v>0</v>
      </c>
      <c r="I31" s="7">
        <v>0</v>
      </c>
      <c r="J31" s="7">
        <v>61.62</v>
      </c>
      <c r="K31" s="7">
        <v>61.62</v>
      </c>
      <c r="M31" s="7">
        <v>0</v>
      </c>
      <c r="N31" s="7">
        <v>216.00065000000001</v>
      </c>
      <c r="O31" s="7">
        <v>216.00065000000001</v>
      </c>
      <c r="Q31" s="33">
        <v>0</v>
      </c>
      <c r="R31" s="33">
        <v>3666.86</v>
      </c>
      <c r="S31" s="33">
        <v>3666.86</v>
      </c>
    </row>
    <row r="32" spans="1:19" x14ac:dyDescent="0.2">
      <c r="A32" s="39">
        <v>12</v>
      </c>
      <c r="B32" s="6" t="s">
        <v>19</v>
      </c>
      <c r="C32" s="6">
        <v>0</v>
      </c>
      <c r="D32" s="6">
        <v>0</v>
      </c>
      <c r="E32" s="6">
        <v>3</v>
      </c>
      <c r="F32" s="23">
        <f t="shared" si="2"/>
        <v>3</v>
      </c>
      <c r="H32" s="7">
        <v>0</v>
      </c>
      <c r="I32" s="7">
        <v>0</v>
      </c>
      <c r="J32" s="7">
        <v>78.67</v>
      </c>
      <c r="K32" s="7">
        <v>78.67</v>
      </c>
      <c r="M32" s="7">
        <v>0</v>
      </c>
      <c r="N32" s="7">
        <v>170.99951999999999</v>
      </c>
      <c r="O32" s="7">
        <v>170.99951999999999</v>
      </c>
      <c r="Q32" s="33">
        <v>0</v>
      </c>
      <c r="R32" s="33">
        <v>2171.69</v>
      </c>
      <c r="S32" s="33">
        <v>2171.69</v>
      </c>
    </row>
    <row r="33" spans="1:19" x14ac:dyDescent="0.2">
      <c r="A33" s="39">
        <v>13</v>
      </c>
      <c r="B33" s="6" t="s">
        <v>20</v>
      </c>
      <c r="C33" s="6">
        <v>0</v>
      </c>
      <c r="D33" s="6">
        <v>0</v>
      </c>
      <c r="E33" s="6">
        <v>73</v>
      </c>
      <c r="F33" s="23">
        <f t="shared" si="2"/>
        <v>73</v>
      </c>
      <c r="H33" s="7">
        <v>0</v>
      </c>
      <c r="I33" s="7">
        <v>0</v>
      </c>
      <c r="J33" s="7">
        <v>69.489999999999995</v>
      </c>
      <c r="K33" s="7">
        <v>69.489999999999995</v>
      </c>
      <c r="M33" s="7">
        <v>0</v>
      </c>
      <c r="N33" s="7">
        <v>186.72254999999998</v>
      </c>
      <c r="O33" s="7">
        <v>186.72254999999998</v>
      </c>
      <c r="Q33" s="33">
        <v>0</v>
      </c>
      <c r="R33" s="33">
        <v>2937.81</v>
      </c>
      <c r="S33" s="33">
        <v>2937.81</v>
      </c>
    </row>
    <row r="34" spans="1:19" x14ac:dyDescent="0.2">
      <c r="A34" s="39">
        <v>14</v>
      </c>
      <c r="B34" s="6" t="s">
        <v>21</v>
      </c>
      <c r="C34" s="6">
        <v>4</v>
      </c>
      <c r="D34" s="6">
        <v>0</v>
      </c>
      <c r="E34" s="6">
        <v>19</v>
      </c>
      <c r="F34" s="23">
        <f t="shared" si="2"/>
        <v>23</v>
      </c>
      <c r="H34" s="7">
        <v>79.75</v>
      </c>
      <c r="I34" s="7">
        <v>0</v>
      </c>
      <c r="J34" s="7">
        <v>78.180000000000007</v>
      </c>
      <c r="K34" s="7">
        <v>78.48</v>
      </c>
      <c r="M34" s="7">
        <v>156.25</v>
      </c>
      <c r="N34" s="7">
        <v>300.51130000000001</v>
      </c>
      <c r="O34" s="7">
        <v>273.03296</v>
      </c>
      <c r="Q34" s="33">
        <v>1971.78</v>
      </c>
      <c r="R34" s="33">
        <v>3931.39</v>
      </c>
      <c r="S34" s="33">
        <v>3558.13</v>
      </c>
    </row>
    <row r="35" spans="1:19" x14ac:dyDescent="0.2">
      <c r="A35" s="39">
        <v>15</v>
      </c>
      <c r="B35" s="6" t="s">
        <v>22</v>
      </c>
      <c r="C35" s="6">
        <v>15</v>
      </c>
      <c r="D35" s="6">
        <v>0</v>
      </c>
      <c r="E35" s="6">
        <v>34</v>
      </c>
      <c r="F35" s="23">
        <f t="shared" si="2"/>
        <v>49</v>
      </c>
      <c r="H35" s="7">
        <v>69.86</v>
      </c>
      <c r="I35" s="7">
        <v>0</v>
      </c>
      <c r="J35" s="7">
        <v>66.430000000000007</v>
      </c>
      <c r="K35" s="7">
        <v>67.52</v>
      </c>
      <c r="M35" s="7">
        <v>161.71429000000001</v>
      </c>
      <c r="N35" s="7">
        <v>244.31421</v>
      </c>
      <c r="O35" s="7">
        <v>217.42121</v>
      </c>
      <c r="Q35" s="33">
        <v>2358.86</v>
      </c>
      <c r="R35" s="33">
        <v>3773.78</v>
      </c>
      <c r="S35" s="33">
        <v>3313.11</v>
      </c>
    </row>
    <row r="36" spans="1:19" x14ac:dyDescent="0.2">
      <c r="A36" s="39">
        <v>16</v>
      </c>
      <c r="B36" s="6" t="s">
        <v>23</v>
      </c>
      <c r="C36" s="6">
        <v>28</v>
      </c>
      <c r="D36" s="6">
        <v>0</v>
      </c>
      <c r="E36" s="6">
        <v>38</v>
      </c>
      <c r="F36" s="23">
        <f t="shared" si="2"/>
        <v>66</v>
      </c>
      <c r="H36" s="7">
        <v>93.29</v>
      </c>
      <c r="I36" s="7">
        <v>0</v>
      </c>
      <c r="J36" s="7">
        <v>66.739999999999995</v>
      </c>
      <c r="K36" s="7">
        <v>78.73</v>
      </c>
      <c r="M36" s="7">
        <v>424.76878999999997</v>
      </c>
      <c r="N36" s="7">
        <v>201.34110000000001</v>
      </c>
      <c r="O36" s="7">
        <v>370.42151000000001</v>
      </c>
      <c r="Q36" s="33">
        <v>4527.04</v>
      </c>
      <c r="R36" s="33">
        <v>3262.18</v>
      </c>
      <c r="S36" s="33">
        <v>4219.37</v>
      </c>
    </row>
    <row r="37" spans="1:19" x14ac:dyDescent="0.2">
      <c r="A37" s="39">
        <v>17</v>
      </c>
      <c r="B37" s="6" t="s">
        <v>24</v>
      </c>
      <c r="C37" s="6">
        <v>3</v>
      </c>
      <c r="D37" s="6">
        <v>0</v>
      </c>
      <c r="E37" s="6">
        <v>55</v>
      </c>
      <c r="F37" s="23">
        <f t="shared" si="2"/>
        <v>58</v>
      </c>
      <c r="H37" s="7">
        <v>0</v>
      </c>
      <c r="I37" s="7">
        <v>0</v>
      </c>
      <c r="J37" s="7">
        <v>62.89</v>
      </c>
      <c r="K37" s="7">
        <v>62.89</v>
      </c>
      <c r="M37" s="7">
        <v>0</v>
      </c>
      <c r="N37" s="7">
        <v>197.78820000000002</v>
      </c>
      <c r="O37" s="7">
        <v>197.78820000000002</v>
      </c>
      <c r="Q37" s="33">
        <v>0</v>
      </c>
      <c r="R37" s="33">
        <v>3205.39</v>
      </c>
      <c r="S37" s="33">
        <v>3205.39</v>
      </c>
    </row>
    <row r="38" spans="1:19" x14ac:dyDescent="0.2">
      <c r="A38" s="39">
        <v>18</v>
      </c>
      <c r="B38" s="6" t="s">
        <v>25</v>
      </c>
      <c r="C38" s="6">
        <v>2</v>
      </c>
      <c r="D38" s="6">
        <v>0</v>
      </c>
      <c r="E38" s="6">
        <v>100</v>
      </c>
      <c r="F38" s="23">
        <f t="shared" si="2"/>
        <v>102</v>
      </c>
      <c r="H38" s="7">
        <v>66.5</v>
      </c>
      <c r="I38" s="7">
        <v>0</v>
      </c>
      <c r="J38" s="7">
        <v>73.31</v>
      </c>
      <c r="K38" s="7">
        <v>73.150000000000006</v>
      </c>
      <c r="M38" s="7">
        <v>0</v>
      </c>
      <c r="N38" s="7">
        <v>317.15789000000001</v>
      </c>
      <c r="O38" s="7">
        <v>311.32203000000004</v>
      </c>
      <c r="Q38" s="33">
        <v>0</v>
      </c>
      <c r="R38" s="33">
        <v>4068.38</v>
      </c>
      <c r="S38" s="33">
        <v>4002.58</v>
      </c>
    </row>
    <row r="39" spans="1:19" x14ac:dyDescent="0.2">
      <c r="A39" s="39">
        <v>19</v>
      </c>
      <c r="B39" s="6" t="s">
        <v>26</v>
      </c>
      <c r="C39" s="6">
        <v>5</v>
      </c>
      <c r="D39" s="6">
        <v>0</v>
      </c>
      <c r="E39" s="6">
        <v>88</v>
      </c>
      <c r="F39" s="23">
        <f t="shared" si="2"/>
        <v>93</v>
      </c>
      <c r="H39" s="7">
        <v>83.75</v>
      </c>
      <c r="I39" s="7">
        <v>0</v>
      </c>
      <c r="J39" s="7">
        <v>80.8</v>
      </c>
      <c r="K39" s="7">
        <v>80.94</v>
      </c>
      <c r="M39" s="7">
        <v>516.34249999999997</v>
      </c>
      <c r="N39" s="7">
        <v>427.61766</v>
      </c>
      <c r="O39" s="7">
        <v>432.41359999999997</v>
      </c>
      <c r="Q39" s="33">
        <v>5889.17</v>
      </c>
      <c r="R39" s="33">
        <v>4946.8</v>
      </c>
      <c r="S39" s="33">
        <v>4997.74</v>
      </c>
    </row>
    <row r="40" spans="1:19" x14ac:dyDescent="0.2">
      <c r="A40" s="39">
        <v>20</v>
      </c>
      <c r="B40" s="6" t="s">
        <v>27</v>
      </c>
      <c r="C40" s="6">
        <v>1</v>
      </c>
      <c r="D40" s="6">
        <v>0</v>
      </c>
      <c r="E40" s="6">
        <v>34</v>
      </c>
      <c r="F40" s="23">
        <f t="shared" si="2"/>
        <v>35</v>
      </c>
      <c r="H40" s="7">
        <v>145</v>
      </c>
      <c r="I40" s="7">
        <v>0</v>
      </c>
      <c r="J40" s="7">
        <v>89</v>
      </c>
      <c r="K40" s="7">
        <v>91</v>
      </c>
      <c r="M40" s="7">
        <v>0</v>
      </c>
      <c r="N40" s="7">
        <v>423.27778000000001</v>
      </c>
      <c r="O40" s="7">
        <v>436.26315999999997</v>
      </c>
      <c r="Q40" s="33">
        <v>0</v>
      </c>
      <c r="R40" s="33">
        <v>4777.72</v>
      </c>
      <c r="S40" s="33">
        <v>4769.46</v>
      </c>
    </row>
    <row r="41" spans="1:19" x14ac:dyDescent="0.2">
      <c r="A41" s="39">
        <v>21</v>
      </c>
      <c r="B41" s="6" t="s">
        <v>28</v>
      </c>
      <c r="C41" s="6">
        <v>3</v>
      </c>
      <c r="D41" s="6">
        <v>0</v>
      </c>
      <c r="E41" s="6">
        <v>28</v>
      </c>
      <c r="F41" s="23">
        <f t="shared" si="2"/>
        <v>31</v>
      </c>
      <c r="H41" s="7">
        <v>145</v>
      </c>
      <c r="I41" s="7">
        <v>0</v>
      </c>
      <c r="J41" s="7">
        <v>145.30000000000001</v>
      </c>
      <c r="K41" s="7">
        <v>145.27000000000001</v>
      </c>
      <c r="M41" s="7">
        <v>825</v>
      </c>
      <c r="N41" s="7">
        <v>871.1902</v>
      </c>
      <c r="O41" s="7">
        <v>865.64738</v>
      </c>
      <c r="Q41" s="33">
        <v>5461.06</v>
      </c>
      <c r="R41" s="33">
        <v>5626.54</v>
      </c>
      <c r="S41" s="33">
        <v>5606.68</v>
      </c>
    </row>
    <row r="42" spans="1:19" x14ac:dyDescent="0.2">
      <c r="A42" s="39">
        <v>22</v>
      </c>
      <c r="B42" s="6" t="s">
        <v>29</v>
      </c>
      <c r="C42" s="6">
        <v>1</v>
      </c>
      <c r="D42" s="6">
        <v>0</v>
      </c>
      <c r="E42" s="6">
        <v>10</v>
      </c>
      <c r="F42" s="23">
        <f t="shared" si="2"/>
        <v>11</v>
      </c>
      <c r="H42" s="7">
        <v>53</v>
      </c>
      <c r="I42" s="7">
        <v>0</v>
      </c>
      <c r="J42" s="7">
        <v>88.86</v>
      </c>
      <c r="K42" s="7">
        <v>84.38</v>
      </c>
      <c r="M42" s="7">
        <v>0</v>
      </c>
      <c r="N42" s="7">
        <v>302.86919</v>
      </c>
      <c r="O42" s="7">
        <v>283.76053999999999</v>
      </c>
      <c r="Q42" s="33">
        <v>0</v>
      </c>
      <c r="R42" s="33">
        <v>3676.88</v>
      </c>
      <c r="S42" s="33">
        <v>3571.04</v>
      </c>
    </row>
    <row r="43" spans="1:19" x14ac:dyDescent="0.2">
      <c r="A43" s="39">
        <v>23</v>
      </c>
      <c r="B43" s="6" t="s">
        <v>30</v>
      </c>
      <c r="C43" s="6">
        <v>2</v>
      </c>
      <c r="D43" s="6">
        <v>0</v>
      </c>
      <c r="E43" s="6">
        <v>54</v>
      </c>
      <c r="F43" s="23">
        <f t="shared" si="2"/>
        <v>56</v>
      </c>
      <c r="H43" s="7">
        <v>130.5</v>
      </c>
      <c r="I43" s="7">
        <v>0</v>
      </c>
      <c r="J43" s="7">
        <v>101.5</v>
      </c>
      <c r="K43" s="7">
        <v>102.76</v>
      </c>
      <c r="M43" s="7">
        <v>0</v>
      </c>
      <c r="N43" s="7">
        <v>680.11131</v>
      </c>
      <c r="O43" s="7">
        <v>695.96988999999996</v>
      </c>
      <c r="Q43" s="33">
        <v>0</v>
      </c>
      <c r="R43" s="33">
        <v>6336.54</v>
      </c>
      <c r="S43" s="33">
        <v>6424.64</v>
      </c>
    </row>
    <row r="44" spans="1:19" x14ac:dyDescent="0.2">
      <c r="A44" s="39">
        <v>24</v>
      </c>
      <c r="B44" s="6" t="s">
        <v>31</v>
      </c>
      <c r="C44" s="6">
        <v>0</v>
      </c>
      <c r="D44" s="6">
        <v>0</v>
      </c>
      <c r="E44" s="6">
        <v>33</v>
      </c>
      <c r="F44" s="23">
        <f t="shared" si="2"/>
        <v>33</v>
      </c>
      <c r="H44" s="7">
        <v>0</v>
      </c>
      <c r="I44" s="7">
        <v>0</v>
      </c>
      <c r="J44" s="7">
        <v>151.19999999999999</v>
      </c>
      <c r="K44" s="7">
        <v>151.19999999999999</v>
      </c>
      <c r="M44" s="7">
        <v>0</v>
      </c>
      <c r="N44" s="7">
        <v>1004.5369899999999</v>
      </c>
      <c r="O44" s="7">
        <v>1004.5369899999999</v>
      </c>
      <c r="Q44" s="33">
        <v>0</v>
      </c>
      <c r="R44" s="33">
        <v>6261.84</v>
      </c>
      <c r="S44" s="33">
        <v>6261.84</v>
      </c>
    </row>
    <row r="45" spans="1:19" x14ac:dyDescent="0.2">
      <c r="A45" s="39">
        <v>25</v>
      </c>
      <c r="B45" s="6" t="s">
        <v>32</v>
      </c>
      <c r="C45" s="6">
        <v>7</v>
      </c>
      <c r="D45" s="6">
        <v>0</v>
      </c>
      <c r="E45" s="6">
        <v>31</v>
      </c>
      <c r="F45" s="23">
        <f t="shared" si="2"/>
        <v>38</v>
      </c>
      <c r="H45" s="7">
        <v>105.8</v>
      </c>
      <c r="I45" s="7">
        <v>0</v>
      </c>
      <c r="J45" s="7">
        <v>113.74</v>
      </c>
      <c r="K45" s="7">
        <v>112.5</v>
      </c>
      <c r="M45" s="7">
        <v>504.5</v>
      </c>
      <c r="N45" s="7">
        <v>609.09258999999997</v>
      </c>
      <c r="O45" s="7">
        <v>592.75</v>
      </c>
      <c r="Q45" s="33">
        <v>4905.08</v>
      </c>
      <c r="R45" s="33">
        <v>5483.93</v>
      </c>
      <c r="S45" s="33">
        <v>5393.48</v>
      </c>
    </row>
    <row r="46" spans="1:19" x14ac:dyDescent="0.2">
      <c r="A46" s="39">
        <v>26</v>
      </c>
      <c r="B46" s="6" t="s">
        <v>33</v>
      </c>
      <c r="C46" s="6">
        <v>17</v>
      </c>
      <c r="D46" s="6">
        <v>0</v>
      </c>
      <c r="E46" s="6">
        <v>91</v>
      </c>
      <c r="F46" s="23">
        <f t="shared" si="2"/>
        <v>108</v>
      </c>
      <c r="H46" s="7">
        <v>141.19999999999999</v>
      </c>
      <c r="I46" s="7">
        <v>0</v>
      </c>
      <c r="J46" s="7">
        <v>136.41999999999999</v>
      </c>
      <c r="K46" s="7">
        <v>137.18</v>
      </c>
      <c r="M46" s="7">
        <v>908.77233000000001</v>
      </c>
      <c r="N46" s="7">
        <v>800.42605000000003</v>
      </c>
      <c r="O46" s="7">
        <v>817.71534999999994</v>
      </c>
      <c r="Q46" s="33">
        <v>5800.52</v>
      </c>
      <c r="R46" s="33">
        <v>5840.32</v>
      </c>
      <c r="S46" s="33">
        <v>5833.97</v>
      </c>
    </row>
    <row r="47" spans="1:19" x14ac:dyDescent="0.2">
      <c r="A47" s="39">
        <v>27</v>
      </c>
      <c r="B47" s="6" t="s">
        <v>34</v>
      </c>
      <c r="C47" s="6">
        <v>4</v>
      </c>
      <c r="D47" s="6">
        <v>0</v>
      </c>
      <c r="E47" s="6">
        <v>48</v>
      </c>
      <c r="F47" s="23">
        <f t="shared" si="2"/>
        <v>52</v>
      </c>
      <c r="H47" s="7">
        <v>81.25</v>
      </c>
      <c r="I47" s="7">
        <v>0</v>
      </c>
      <c r="J47" s="7">
        <v>125.71</v>
      </c>
      <c r="K47" s="7">
        <v>121.76</v>
      </c>
      <c r="M47" s="7">
        <v>540.75</v>
      </c>
      <c r="N47" s="7">
        <v>535.36393999999996</v>
      </c>
      <c r="O47" s="7">
        <v>535.84269999999992</v>
      </c>
      <c r="Q47" s="33">
        <v>6900.38</v>
      </c>
      <c r="R47" s="33">
        <v>4480.87</v>
      </c>
      <c r="S47" s="33">
        <v>4695.9399999999996</v>
      </c>
    </row>
    <row r="48" spans="1:19" x14ac:dyDescent="0.2">
      <c r="A48" s="39">
        <v>28</v>
      </c>
      <c r="B48" s="6" t="s">
        <v>35</v>
      </c>
      <c r="C48" s="6">
        <v>11</v>
      </c>
      <c r="D48" s="6">
        <v>0</v>
      </c>
      <c r="E48" s="6">
        <v>24</v>
      </c>
      <c r="F48" s="23">
        <f t="shared" si="2"/>
        <v>35</v>
      </c>
      <c r="H48" s="7">
        <v>108.9</v>
      </c>
      <c r="I48" s="7">
        <v>0</v>
      </c>
      <c r="J48" s="7">
        <v>74.14</v>
      </c>
      <c r="K48" s="7">
        <v>85.35</v>
      </c>
      <c r="M48" s="7">
        <v>480.25200000000001</v>
      </c>
      <c r="N48" s="7">
        <v>293.57900000000001</v>
      </c>
      <c r="O48" s="7">
        <v>357.94900000000001</v>
      </c>
      <c r="Q48" s="33">
        <v>4461.49</v>
      </c>
      <c r="R48" s="33">
        <v>4187.57</v>
      </c>
      <c r="S48" s="33">
        <v>4282.03</v>
      </c>
    </row>
    <row r="49" spans="1:19" x14ac:dyDescent="0.2">
      <c r="A49" s="39">
        <v>29</v>
      </c>
      <c r="B49" s="6" t="s">
        <v>36</v>
      </c>
      <c r="C49" s="6">
        <v>5</v>
      </c>
      <c r="D49" s="6">
        <v>0</v>
      </c>
      <c r="E49" s="6">
        <v>16</v>
      </c>
      <c r="F49" s="23">
        <f t="shared" si="2"/>
        <v>21</v>
      </c>
      <c r="H49" s="7">
        <v>53</v>
      </c>
      <c r="I49" s="7">
        <v>0</v>
      </c>
      <c r="J49" s="7">
        <v>69.64</v>
      </c>
      <c r="K49" s="7">
        <v>66.7</v>
      </c>
      <c r="M49" s="7">
        <v>166.33332999999999</v>
      </c>
      <c r="N49" s="7">
        <v>215.56435999999999</v>
      </c>
      <c r="O49" s="7">
        <v>206.87653</v>
      </c>
      <c r="Q49" s="33">
        <v>2981.5</v>
      </c>
      <c r="R49" s="33">
        <v>3065.37</v>
      </c>
      <c r="S49" s="33">
        <v>3050.57</v>
      </c>
    </row>
    <row r="50" spans="1:19" x14ac:dyDescent="0.2">
      <c r="A50" s="39">
        <v>30</v>
      </c>
      <c r="B50" s="6" t="s">
        <v>37</v>
      </c>
      <c r="C50" s="6">
        <v>1</v>
      </c>
      <c r="D50" s="6">
        <v>0</v>
      </c>
      <c r="E50" s="6">
        <v>33</v>
      </c>
      <c r="F50" s="23">
        <f t="shared" si="2"/>
        <v>34</v>
      </c>
      <c r="H50" s="7">
        <v>75</v>
      </c>
      <c r="I50" s="7">
        <v>0</v>
      </c>
      <c r="J50" s="7">
        <v>82.57</v>
      </c>
      <c r="K50" s="7">
        <v>82.33</v>
      </c>
      <c r="M50" s="7">
        <v>0</v>
      </c>
      <c r="N50" s="7">
        <v>357.93403000000001</v>
      </c>
      <c r="O50" s="7">
        <v>356.54906</v>
      </c>
      <c r="Q50" s="33">
        <v>0</v>
      </c>
      <c r="R50" s="33">
        <v>4313.17</v>
      </c>
      <c r="S50" s="33">
        <v>4309.5200000000004</v>
      </c>
    </row>
    <row r="51" spans="1:19" x14ac:dyDescent="0.2">
      <c r="A51" s="39">
        <v>31</v>
      </c>
      <c r="B51" s="6" t="s">
        <v>38</v>
      </c>
      <c r="C51" s="6">
        <v>10</v>
      </c>
      <c r="D51" s="6">
        <v>0</v>
      </c>
      <c r="E51" s="6">
        <v>142</v>
      </c>
      <c r="F51" s="23">
        <f t="shared" si="2"/>
        <v>152</v>
      </c>
      <c r="H51" s="7">
        <v>82.44</v>
      </c>
      <c r="I51" s="7">
        <v>0</v>
      </c>
      <c r="J51" s="7">
        <v>80.400000000000006</v>
      </c>
      <c r="K51" s="7">
        <v>80.540000000000006</v>
      </c>
      <c r="M51" s="7">
        <v>625.26022</v>
      </c>
      <c r="N51" s="7">
        <v>382.46040000000005</v>
      </c>
      <c r="O51" s="7">
        <v>398.89046000000002</v>
      </c>
      <c r="Q51" s="33">
        <v>7714.44</v>
      </c>
      <c r="R51" s="33">
        <v>4941.5600000000004</v>
      </c>
      <c r="S51" s="33">
        <v>5129.2</v>
      </c>
    </row>
    <row r="52" spans="1:19" x14ac:dyDescent="0.2">
      <c r="A52" s="39">
        <v>32</v>
      </c>
      <c r="B52" s="6" t="s">
        <v>39</v>
      </c>
      <c r="C52" s="6">
        <v>0</v>
      </c>
      <c r="D52" s="6">
        <v>0</v>
      </c>
      <c r="E52" s="6">
        <v>102</v>
      </c>
      <c r="F52" s="23">
        <f t="shared" si="2"/>
        <v>102</v>
      </c>
      <c r="H52" s="7">
        <v>0</v>
      </c>
      <c r="I52" s="7">
        <v>0</v>
      </c>
      <c r="J52" s="7">
        <v>77.3</v>
      </c>
      <c r="K52" s="7">
        <v>77.3</v>
      </c>
      <c r="M52" s="7">
        <v>0</v>
      </c>
      <c r="N52" s="7">
        <v>347.35365999999999</v>
      </c>
      <c r="O52" s="7">
        <v>347.35365999999999</v>
      </c>
      <c r="Q52" s="33">
        <v>0</v>
      </c>
      <c r="R52" s="33">
        <v>4560.66</v>
      </c>
      <c r="S52" s="33">
        <v>4560.66</v>
      </c>
    </row>
    <row r="53" spans="1:19" x14ac:dyDescent="0.2">
      <c r="A53" s="39">
        <v>33</v>
      </c>
      <c r="B53" s="6" t="s">
        <v>40</v>
      </c>
      <c r="C53" s="6">
        <v>4</v>
      </c>
      <c r="D53" s="6">
        <v>0</v>
      </c>
      <c r="E53" s="6">
        <v>30</v>
      </c>
      <c r="F53" s="23">
        <f t="shared" si="2"/>
        <v>34</v>
      </c>
      <c r="H53" s="7">
        <v>45</v>
      </c>
      <c r="I53" s="7">
        <v>0</v>
      </c>
      <c r="J53" s="7">
        <v>65.040000000000006</v>
      </c>
      <c r="K53" s="7">
        <v>62.07</v>
      </c>
      <c r="M53" s="7">
        <v>169.25</v>
      </c>
      <c r="N53" s="7">
        <v>248.44943000000001</v>
      </c>
      <c r="O53" s="7">
        <v>236.71617999999998</v>
      </c>
      <c r="Q53" s="33">
        <v>3885.57</v>
      </c>
      <c r="R53" s="33">
        <v>3941.65</v>
      </c>
      <c r="S53" s="33">
        <v>3933.34</v>
      </c>
    </row>
    <row r="54" spans="1:19" x14ac:dyDescent="0.2">
      <c r="A54" s="39">
        <v>34</v>
      </c>
      <c r="B54" s="6" t="s">
        <v>41</v>
      </c>
      <c r="C54" s="6">
        <v>0</v>
      </c>
      <c r="D54" s="6">
        <v>0</v>
      </c>
      <c r="E54" s="6">
        <v>14</v>
      </c>
      <c r="F54" s="23">
        <f t="shared" si="2"/>
        <v>14</v>
      </c>
      <c r="H54" s="7">
        <v>0</v>
      </c>
      <c r="I54" s="7">
        <v>0</v>
      </c>
      <c r="J54" s="7">
        <v>69.64</v>
      </c>
      <c r="K54" s="7">
        <v>69.64</v>
      </c>
      <c r="M54" s="7">
        <v>0</v>
      </c>
      <c r="N54" s="7">
        <v>211.81817999999998</v>
      </c>
      <c r="O54" s="7">
        <v>211.81817999999998</v>
      </c>
      <c r="Q54" s="33">
        <v>0</v>
      </c>
      <c r="R54" s="33">
        <v>3111.96</v>
      </c>
      <c r="S54" s="33">
        <v>3111.96</v>
      </c>
    </row>
    <row r="55" spans="1:19" x14ac:dyDescent="0.2">
      <c r="A55" s="39">
        <v>35</v>
      </c>
      <c r="B55" s="6" t="s">
        <v>42</v>
      </c>
      <c r="C55" s="6">
        <v>2</v>
      </c>
      <c r="D55" s="6">
        <v>0</v>
      </c>
      <c r="E55" s="6">
        <v>68</v>
      </c>
      <c r="F55" s="23">
        <f t="shared" si="2"/>
        <v>70</v>
      </c>
      <c r="H55" s="7">
        <v>101.5</v>
      </c>
      <c r="I55" s="7">
        <v>0</v>
      </c>
      <c r="J55" s="7">
        <v>65.72</v>
      </c>
      <c r="K55" s="7">
        <v>66.930000000000007</v>
      </c>
      <c r="M55" s="7">
        <v>0</v>
      </c>
      <c r="N55" s="7">
        <v>230.95876999999999</v>
      </c>
      <c r="O55" s="7">
        <v>230.57373000000001</v>
      </c>
      <c r="Q55" s="33">
        <v>0</v>
      </c>
      <c r="R55" s="33">
        <v>3499.26</v>
      </c>
      <c r="S55" s="33">
        <v>3452.51</v>
      </c>
    </row>
    <row r="56" spans="1:19" x14ac:dyDescent="0.2">
      <c r="A56" s="39">
        <v>36</v>
      </c>
      <c r="B56" s="6" t="s">
        <v>43</v>
      </c>
      <c r="C56" s="6">
        <v>2</v>
      </c>
      <c r="D56" s="6">
        <v>0</v>
      </c>
      <c r="E56" s="6">
        <v>27</v>
      </c>
      <c r="F56" s="23">
        <f t="shared" si="2"/>
        <v>29</v>
      </c>
      <c r="H56" s="7">
        <v>38.5</v>
      </c>
      <c r="I56" s="7">
        <v>0</v>
      </c>
      <c r="J56" s="7">
        <v>97.79</v>
      </c>
      <c r="K56" s="7">
        <v>93.23</v>
      </c>
      <c r="M56" s="7">
        <v>0</v>
      </c>
      <c r="N56" s="7">
        <v>319.00310999999999</v>
      </c>
      <c r="O56" s="7">
        <v>312.15671999999995</v>
      </c>
      <c r="Q56" s="33">
        <v>0</v>
      </c>
      <c r="R56" s="33">
        <v>3621.09</v>
      </c>
      <c r="S56" s="33">
        <v>3799.67</v>
      </c>
    </row>
    <row r="57" spans="1:19" x14ac:dyDescent="0.2">
      <c r="A57" s="39">
        <v>37</v>
      </c>
      <c r="B57" s="6" t="s">
        <v>44</v>
      </c>
      <c r="C57" s="6">
        <v>13</v>
      </c>
      <c r="D57" s="6">
        <v>1</v>
      </c>
      <c r="E57" s="6">
        <v>56</v>
      </c>
      <c r="F57" s="23">
        <f t="shared" si="2"/>
        <v>70</v>
      </c>
      <c r="H57" s="7">
        <v>56.45</v>
      </c>
      <c r="I57" s="7">
        <v>71</v>
      </c>
      <c r="J57" s="7">
        <v>67.67</v>
      </c>
      <c r="K57" s="7">
        <v>65.790000000000006</v>
      </c>
      <c r="M57" s="7">
        <v>158.10909000000001</v>
      </c>
      <c r="N57" s="7">
        <v>193.17213000000001</v>
      </c>
      <c r="O57" s="7">
        <v>186.84929</v>
      </c>
      <c r="Q57" s="33">
        <v>2870.12</v>
      </c>
      <c r="R57" s="33">
        <v>2841.83</v>
      </c>
      <c r="S57" s="33">
        <v>2846.93</v>
      </c>
    </row>
    <row r="58" spans="1:19" x14ac:dyDescent="0.2">
      <c r="A58" s="39">
        <v>38</v>
      </c>
      <c r="B58" s="6" t="s">
        <v>45</v>
      </c>
      <c r="C58" s="6">
        <v>15</v>
      </c>
      <c r="D58" s="6">
        <v>0</v>
      </c>
      <c r="E58" s="6">
        <v>12</v>
      </c>
      <c r="F58" s="23">
        <f t="shared" si="2"/>
        <v>27</v>
      </c>
      <c r="H58" s="7">
        <v>60.62</v>
      </c>
      <c r="I58" s="7">
        <v>0</v>
      </c>
      <c r="J58" s="7">
        <v>64.67</v>
      </c>
      <c r="K58" s="7">
        <v>62.56</v>
      </c>
      <c r="M58" s="7">
        <v>144.23076999999998</v>
      </c>
      <c r="N58" s="7">
        <v>172.07499999999999</v>
      </c>
      <c r="O58" s="7">
        <v>157.596</v>
      </c>
      <c r="Q58" s="33">
        <v>2307.38</v>
      </c>
      <c r="R58" s="33">
        <v>2814.3</v>
      </c>
      <c r="S58" s="33">
        <v>2550.6999999999998</v>
      </c>
    </row>
    <row r="59" spans="1:19" x14ac:dyDescent="0.2">
      <c r="A59" s="39">
        <v>39</v>
      </c>
      <c r="B59" s="6" t="s">
        <v>46</v>
      </c>
      <c r="C59" s="6">
        <v>3</v>
      </c>
      <c r="D59" s="6">
        <v>0</v>
      </c>
      <c r="E59" s="6">
        <v>10</v>
      </c>
      <c r="F59" s="23">
        <f t="shared" si="2"/>
        <v>13</v>
      </c>
      <c r="H59" s="7">
        <v>63.67</v>
      </c>
      <c r="I59" s="7">
        <v>0</v>
      </c>
      <c r="J59" s="7">
        <v>69.099999999999994</v>
      </c>
      <c r="K59" s="7">
        <v>67.849999999999994</v>
      </c>
      <c r="M59" s="7">
        <v>144.16667000000001</v>
      </c>
      <c r="N59" s="7">
        <v>199.66667000000001</v>
      </c>
      <c r="O59" s="7">
        <v>185.79167000000001</v>
      </c>
      <c r="Q59" s="33">
        <v>2293.7399999999998</v>
      </c>
      <c r="R59" s="33">
        <v>2668.5</v>
      </c>
      <c r="S59" s="33">
        <v>2574.81</v>
      </c>
    </row>
    <row r="60" spans="1:19" x14ac:dyDescent="0.2">
      <c r="A60" s="39">
        <v>40</v>
      </c>
      <c r="B60" s="6" t="s">
        <v>47</v>
      </c>
      <c r="C60" s="6">
        <v>1</v>
      </c>
      <c r="D60" s="6">
        <v>0</v>
      </c>
      <c r="E60" s="6">
        <v>11</v>
      </c>
      <c r="F60" s="23">
        <f t="shared" si="2"/>
        <v>12</v>
      </c>
      <c r="H60" s="7">
        <v>55</v>
      </c>
      <c r="I60" s="7">
        <v>0</v>
      </c>
      <c r="J60" s="7">
        <v>56.67</v>
      </c>
      <c r="K60" s="7">
        <v>56.5</v>
      </c>
      <c r="M60" s="7">
        <v>0</v>
      </c>
      <c r="N60" s="7">
        <v>191.55555999999999</v>
      </c>
      <c r="O60" s="7">
        <v>203.4</v>
      </c>
      <c r="Q60" s="33">
        <v>0</v>
      </c>
      <c r="R60" s="33">
        <v>3393.06</v>
      </c>
      <c r="S60" s="33">
        <v>3617.39</v>
      </c>
    </row>
    <row r="61" spans="1:19" x14ac:dyDescent="0.2">
      <c r="A61" s="39">
        <v>41</v>
      </c>
      <c r="B61" s="6" t="s">
        <v>48</v>
      </c>
      <c r="C61" s="6">
        <v>0</v>
      </c>
      <c r="D61" s="6">
        <v>1</v>
      </c>
      <c r="E61" s="6">
        <v>11</v>
      </c>
      <c r="F61" s="23">
        <f t="shared" si="2"/>
        <v>12</v>
      </c>
      <c r="H61" s="7">
        <v>0</v>
      </c>
      <c r="I61" s="7">
        <v>0</v>
      </c>
      <c r="J61" s="7">
        <v>62.56</v>
      </c>
      <c r="K61" s="7">
        <v>62.56</v>
      </c>
      <c r="M61" s="21">
        <v>0</v>
      </c>
      <c r="N61" s="21">
        <v>267.75011999999998</v>
      </c>
      <c r="O61" s="21">
        <v>267.75011999999998</v>
      </c>
      <c r="P61" s="21"/>
      <c r="Q61" s="36">
        <v>0</v>
      </c>
      <c r="R61" s="36">
        <v>4405.57</v>
      </c>
      <c r="S61" s="33">
        <v>4405.57</v>
      </c>
    </row>
    <row r="62" spans="1:19" x14ac:dyDescent="0.2">
      <c r="A62" s="39">
        <v>42</v>
      </c>
      <c r="B62" s="6" t="s">
        <v>49</v>
      </c>
      <c r="C62" s="6">
        <v>0</v>
      </c>
      <c r="D62" s="6">
        <v>0</v>
      </c>
      <c r="E62" s="6">
        <v>0</v>
      </c>
      <c r="F62" s="23">
        <f t="shared" si="2"/>
        <v>0</v>
      </c>
      <c r="H62" s="7">
        <v>0</v>
      </c>
      <c r="I62" s="7">
        <v>0</v>
      </c>
      <c r="J62" s="7">
        <v>0</v>
      </c>
      <c r="K62" s="7">
        <v>0</v>
      </c>
      <c r="M62" s="7">
        <v>0</v>
      </c>
      <c r="N62" s="7">
        <v>0</v>
      </c>
      <c r="O62" s="7">
        <v>0</v>
      </c>
      <c r="Q62" s="33">
        <v>0</v>
      </c>
      <c r="R62" s="33">
        <v>0</v>
      </c>
      <c r="S62" s="33">
        <v>0</v>
      </c>
    </row>
    <row r="63" spans="1:19" x14ac:dyDescent="0.2">
      <c r="A63" s="39">
        <v>43</v>
      </c>
      <c r="B63" s="6" t="s">
        <v>50</v>
      </c>
      <c r="C63" s="6">
        <v>7</v>
      </c>
      <c r="D63" s="6">
        <v>1</v>
      </c>
      <c r="E63" s="6">
        <v>50</v>
      </c>
      <c r="F63" s="23">
        <f t="shared" si="2"/>
        <v>58</v>
      </c>
      <c r="H63" s="7">
        <v>68.17</v>
      </c>
      <c r="I63" s="7">
        <v>59</v>
      </c>
      <c r="J63" s="7">
        <v>94.6</v>
      </c>
      <c r="K63" s="7">
        <v>91</v>
      </c>
      <c r="M63" s="7">
        <v>228.82982999999999</v>
      </c>
      <c r="N63" s="7">
        <v>228.88326000000001</v>
      </c>
      <c r="O63" s="7">
        <v>228.87544</v>
      </c>
      <c r="Q63" s="33">
        <v>3489.92</v>
      </c>
      <c r="R63" s="33">
        <v>2816.79</v>
      </c>
      <c r="S63" s="33">
        <v>2915.3</v>
      </c>
    </row>
    <row r="64" spans="1:19" x14ac:dyDescent="0.2">
      <c r="A64" s="39">
        <v>44</v>
      </c>
      <c r="B64" s="6" t="s">
        <v>51</v>
      </c>
      <c r="C64" s="6">
        <v>1</v>
      </c>
      <c r="D64" s="6">
        <v>0</v>
      </c>
      <c r="E64" s="6">
        <v>40</v>
      </c>
      <c r="F64" s="23">
        <f t="shared" si="2"/>
        <v>41</v>
      </c>
      <c r="H64" s="7">
        <v>122</v>
      </c>
      <c r="I64" s="7">
        <v>0</v>
      </c>
      <c r="J64" s="7">
        <v>72.81</v>
      </c>
      <c r="K64" s="7">
        <v>74.14</v>
      </c>
      <c r="M64" s="7">
        <v>0</v>
      </c>
      <c r="N64" s="7">
        <v>230.71530999999999</v>
      </c>
      <c r="O64" s="7">
        <v>229.48151000000001</v>
      </c>
      <c r="Q64" s="33">
        <v>0</v>
      </c>
      <c r="R64" s="33">
        <v>3212.89</v>
      </c>
      <c r="S64" s="33">
        <v>3162.72</v>
      </c>
    </row>
    <row r="65" spans="1:19" x14ac:dyDescent="0.2">
      <c r="A65" s="39">
        <v>45</v>
      </c>
      <c r="B65" s="6" t="s">
        <v>52</v>
      </c>
      <c r="C65" s="6">
        <v>4</v>
      </c>
      <c r="D65" s="6">
        <v>0</v>
      </c>
      <c r="E65" s="6">
        <v>45</v>
      </c>
      <c r="F65" s="23">
        <f t="shared" si="2"/>
        <v>49</v>
      </c>
      <c r="H65" s="7">
        <v>59</v>
      </c>
      <c r="I65" s="7">
        <v>0</v>
      </c>
      <c r="J65" s="7">
        <v>62.88</v>
      </c>
      <c r="K65" s="7">
        <v>62.79</v>
      </c>
      <c r="M65" s="7">
        <v>155</v>
      </c>
      <c r="N65" s="7">
        <v>175.33332999999999</v>
      </c>
      <c r="O65" s="7">
        <v>174.0625</v>
      </c>
      <c r="Q65" s="33">
        <v>2627.12</v>
      </c>
      <c r="R65" s="33">
        <v>2720.06</v>
      </c>
      <c r="S65" s="33">
        <v>2714.25</v>
      </c>
    </row>
    <row r="66" spans="1:19" x14ac:dyDescent="0.2">
      <c r="A66" s="39">
        <v>46</v>
      </c>
      <c r="B66" s="6" t="s">
        <v>53</v>
      </c>
      <c r="C66" s="6">
        <v>1</v>
      </c>
      <c r="D66" s="6">
        <v>0</v>
      </c>
      <c r="E66" s="6">
        <v>45</v>
      </c>
      <c r="F66" s="23">
        <f t="shared" si="2"/>
        <v>46</v>
      </c>
      <c r="H66" s="7">
        <v>0</v>
      </c>
      <c r="I66" s="7">
        <v>0</v>
      </c>
      <c r="J66" s="7">
        <v>62.05</v>
      </c>
      <c r="K66" s="7">
        <v>62.05</v>
      </c>
      <c r="M66" s="7">
        <v>0</v>
      </c>
      <c r="N66" s="7">
        <v>155.33545999999998</v>
      </c>
      <c r="O66" s="7">
        <v>155.33545999999998</v>
      </c>
      <c r="Q66" s="33">
        <v>0</v>
      </c>
      <c r="R66" s="33">
        <v>2545.52</v>
      </c>
      <c r="S66" s="33">
        <v>2545.52</v>
      </c>
    </row>
    <row r="67" spans="1:19" x14ac:dyDescent="0.2">
      <c r="A67" s="39">
        <v>47</v>
      </c>
      <c r="B67" s="6" t="s">
        <v>54</v>
      </c>
      <c r="C67" s="6">
        <v>1</v>
      </c>
      <c r="D67" s="6">
        <v>0</v>
      </c>
      <c r="E67" s="6">
        <v>1</v>
      </c>
      <c r="F67" s="23">
        <f t="shared" si="2"/>
        <v>2</v>
      </c>
      <c r="H67" s="7">
        <v>57</v>
      </c>
      <c r="I67" s="7">
        <v>0</v>
      </c>
      <c r="J67" s="7">
        <v>74</v>
      </c>
      <c r="K67" s="7">
        <v>65.5</v>
      </c>
      <c r="M67" s="7">
        <v>0</v>
      </c>
      <c r="N67" s="7">
        <v>0</v>
      </c>
      <c r="O67" s="7">
        <v>0</v>
      </c>
      <c r="Q67" s="33">
        <v>0</v>
      </c>
      <c r="R67" s="33">
        <v>0</v>
      </c>
      <c r="S67" s="33">
        <v>0</v>
      </c>
    </row>
    <row r="68" spans="1:19" x14ac:dyDescent="0.2">
      <c r="A68" s="39">
        <v>48</v>
      </c>
      <c r="B68" s="6" t="s">
        <v>55</v>
      </c>
      <c r="C68" s="6">
        <v>0</v>
      </c>
      <c r="D68" s="6">
        <v>0</v>
      </c>
      <c r="E68" s="6">
        <v>26</v>
      </c>
      <c r="F68" s="23">
        <f t="shared" si="2"/>
        <v>26</v>
      </c>
      <c r="H68" s="7">
        <v>0</v>
      </c>
      <c r="I68" s="7">
        <v>0</v>
      </c>
      <c r="J68" s="7">
        <v>78.59</v>
      </c>
      <c r="K68" s="7">
        <v>78.59</v>
      </c>
      <c r="M68" s="7">
        <v>0</v>
      </c>
      <c r="N68" s="7">
        <v>220.16667000000001</v>
      </c>
      <c r="O68" s="7">
        <v>220.16667000000001</v>
      </c>
      <c r="Q68" s="33">
        <v>0</v>
      </c>
      <c r="R68" s="33">
        <v>2650.94</v>
      </c>
      <c r="S68" s="33">
        <v>2650.94</v>
      </c>
    </row>
    <row r="69" spans="1:19" x14ac:dyDescent="0.2">
      <c r="A69" s="39">
        <v>49</v>
      </c>
      <c r="B69" s="6" t="s">
        <v>56</v>
      </c>
      <c r="C69" s="6">
        <v>0</v>
      </c>
      <c r="D69" s="6">
        <v>0</v>
      </c>
      <c r="E69" s="6">
        <v>11</v>
      </c>
      <c r="F69" s="23">
        <f t="shared" si="2"/>
        <v>11</v>
      </c>
      <c r="H69" s="7">
        <v>0</v>
      </c>
      <c r="I69" s="7">
        <v>0</v>
      </c>
      <c r="J69" s="7">
        <v>68</v>
      </c>
      <c r="K69" s="7">
        <v>68</v>
      </c>
      <c r="M69" s="7">
        <v>0</v>
      </c>
      <c r="N69" s="7">
        <v>205.66667000000001</v>
      </c>
      <c r="O69" s="7">
        <v>205.66667000000001</v>
      </c>
      <c r="Q69" s="33">
        <v>0</v>
      </c>
      <c r="R69" s="33">
        <v>2682.23</v>
      </c>
      <c r="S69" s="33">
        <v>2682.23</v>
      </c>
    </row>
    <row r="70" spans="1:19" x14ac:dyDescent="0.2">
      <c r="A70" s="39">
        <v>50</v>
      </c>
      <c r="B70" s="6" t="s">
        <v>57</v>
      </c>
      <c r="C70" s="6">
        <v>0</v>
      </c>
      <c r="D70" s="6">
        <v>0</v>
      </c>
      <c r="E70" s="6">
        <v>52</v>
      </c>
      <c r="F70" s="23">
        <f t="shared" si="2"/>
        <v>52</v>
      </c>
      <c r="H70" s="7">
        <v>0</v>
      </c>
      <c r="I70" s="7">
        <v>0</v>
      </c>
      <c r="J70" s="7">
        <v>57.39</v>
      </c>
      <c r="K70" s="7">
        <v>57.39</v>
      </c>
      <c r="M70" s="7">
        <v>0</v>
      </c>
      <c r="N70" s="7">
        <v>139.44999999999999</v>
      </c>
      <c r="O70" s="7">
        <v>139.44999999999999</v>
      </c>
      <c r="Q70" s="33">
        <v>0</v>
      </c>
      <c r="R70" s="33">
        <v>2099.0500000000002</v>
      </c>
      <c r="S70" s="33">
        <v>2099.0500000000002</v>
      </c>
    </row>
    <row r="71" spans="1:19" x14ac:dyDescent="0.2">
      <c r="A71" s="39">
        <v>51</v>
      </c>
      <c r="B71" s="6" t="s">
        <v>58</v>
      </c>
      <c r="C71" s="6">
        <v>1</v>
      </c>
      <c r="D71" s="6">
        <v>0</v>
      </c>
      <c r="E71" s="6">
        <v>39</v>
      </c>
      <c r="F71" s="23">
        <f t="shared" si="2"/>
        <v>40</v>
      </c>
      <c r="H71" s="7">
        <v>100</v>
      </c>
      <c r="I71" s="7">
        <v>0</v>
      </c>
      <c r="J71" s="7">
        <v>50.91</v>
      </c>
      <c r="K71" s="7">
        <v>52.35</v>
      </c>
      <c r="M71" s="7">
        <v>0</v>
      </c>
      <c r="N71" s="7">
        <v>139.25</v>
      </c>
      <c r="O71" s="7">
        <v>153.52857</v>
      </c>
      <c r="Q71" s="33">
        <v>0</v>
      </c>
      <c r="R71" s="33">
        <v>2742.7</v>
      </c>
      <c r="S71" s="33">
        <v>2692.6</v>
      </c>
    </row>
    <row r="72" spans="1:19" x14ac:dyDescent="0.2">
      <c r="A72" s="39">
        <v>52</v>
      </c>
      <c r="B72" s="6" t="s">
        <v>59</v>
      </c>
      <c r="C72" s="6">
        <v>4</v>
      </c>
      <c r="D72" s="6">
        <v>0</v>
      </c>
      <c r="E72" s="6">
        <v>63</v>
      </c>
      <c r="F72" s="23">
        <f t="shared" si="2"/>
        <v>67</v>
      </c>
      <c r="H72" s="7">
        <v>88</v>
      </c>
      <c r="I72" s="7">
        <v>0</v>
      </c>
      <c r="J72" s="7">
        <v>59.9</v>
      </c>
      <c r="K72" s="7">
        <v>61.43</v>
      </c>
      <c r="M72" s="7">
        <v>148</v>
      </c>
      <c r="N72" s="7">
        <v>153.69058999999999</v>
      </c>
      <c r="O72" s="7">
        <v>152.83699999999999</v>
      </c>
      <c r="Q72" s="33">
        <v>1641.6</v>
      </c>
      <c r="R72" s="33">
        <v>2809.57</v>
      </c>
      <c r="S72" s="33">
        <v>2634.37</v>
      </c>
    </row>
    <row r="73" spans="1:19" x14ac:dyDescent="0.2">
      <c r="A73" s="39">
        <v>53</v>
      </c>
      <c r="B73" s="6" t="s">
        <v>60</v>
      </c>
      <c r="C73" s="6">
        <v>0</v>
      </c>
      <c r="D73" s="6">
        <v>0</v>
      </c>
      <c r="E73" s="6">
        <v>32</v>
      </c>
      <c r="F73" s="23">
        <f t="shared" si="2"/>
        <v>32</v>
      </c>
      <c r="H73" s="7">
        <v>0</v>
      </c>
      <c r="I73" s="7">
        <v>0</v>
      </c>
      <c r="J73" s="7">
        <v>59.52</v>
      </c>
      <c r="K73" s="7">
        <v>59.52</v>
      </c>
      <c r="M73" s="7">
        <v>0</v>
      </c>
      <c r="N73" s="7">
        <v>106.36835000000001</v>
      </c>
      <c r="O73" s="7">
        <v>106.36835000000001</v>
      </c>
      <c r="Q73" s="33">
        <v>0</v>
      </c>
      <c r="R73" s="33">
        <v>1821.53</v>
      </c>
      <c r="S73" s="33">
        <v>1821.53</v>
      </c>
    </row>
    <row r="74" spans="1:19" x14ac:dyDescent="0.2">
      <c r="A74" s="39">
        <v>54</v>
      </c>
      <c r="B74" s="6" t="s">
        <v>61</v>
      </c>
      <c r="C74" s="6">
        <v>0</v>
      </c>
      <c r="D74" s="6">
        <v>0</v>
      </c>
      <c r="E74" s="6">
        <v>3</v>
      </c>
      <c r="F74" s="23">
        <f t="shared" si="2"/>
        <v>3</v>
      </c>
      <c r="H74" s="7">
        <v>0</v>
      </c>
      <c r="I74" s="7">
        <v>0</v>
      </c>
      <c r="J74" s="7">
        <v>174</v>
      </c>
      <c r="K74" s="7">
        <v>174</v>
      </c>
      <c r="M74" s="7">
        <v>0</v>
      </c>
      <c r="N74" s="7">
        <v>240</v>
      </c>
      <c r="O74" s="7">
        <v>240</v>
      </c>
      <c r="Q74" s="33">
        <v>0</v>
      </c>
      <c r="R74" s="33">
        <v>1585.65</v>
      </c>
      <c r="S74" s="33">
        <v>1585.65</v>
      </c>
    </row>
    <row r="75" spans="1:19" x14ac:dyDescent="0.2">
      <c r="A75" s="39">
        <v>55</v>
      </c>
      <c r="B75" s="6" t="s">
        <v>62</v>
      </c>
      <c r="C75" s="6">
        <v>0</v>
      </c>
      <c r="D75" s="6">
        <v>0</v>
      </c>
      <c r="E75" s="6">
        <v>39</v>
      </c>
      <c r="F75" s="23">
        <f t="shared" si="2"/>
        <v>39</v>
      </c>
      <c r="H75" s="7">
        <v>0</v>
      </c>
      <c r="I75" s="7">
        <v>0</v>
      </c>
      <c r="J75" s="7">
        <v>60</v>
      </c>
      <c r="K75" s="7">
        <v>60</v>
      </c>
      <c r="M75" s="7">
        <v>0</v>
      </c>
      <c r="N75" s="7">
        <v>91.707859999999997</v>
      </c>
      <c r="O75" s="7">
        <v>91.707859999999997</v>
      </c>
      <c r="Q75" s="33">
        <v>0</v>
      </c>
      <c r="R75" s="33">
        <v>1600.86</v>
      </c>
      <c r="S75" s="33">
        <v>1600.86</v>
      </c>
    </row>
    <row r="76" spans="1:19" x14ac:dyDescent="0.2">
      <c r="A76" s="39">
        <v>56</v>
      </c>
      <c r="B76" s="6" t="s">
        <v>80</v>
      </c>
      <c r="C76" s="6">
        <v>0</v>
      </c>
      <c r="D76" s="6">
        <v>0</v>
      </c>
      <c r="E76" s="6">
        <v>1</v>
      </c>
      <c r="F76" s="23">
        <f t="shared" si="2"/>
        <v>1</v>
      </c>
      <c r="H76" s="7">
        <v>0</v>
      </c>
      <c r="I76" s="7">
        <v>0</v>
      </c>
      <c r="J76" s="7">
        <v>0</v>
      </c>
      <c r="K76" s="7">
        <v>0</v>
      </c>
      <c r="M76" s="7">
        <v>0</v>
      </c>
      <c r="N76" s="7">
        <v>0</v>
      </c>
      <c r="O76" s="7">
        <v>0</v>
      </c>
      <c r="Q76" s="33">
        <v>0</v>
      </c>
      <c r="R76" s="33">
        <v>0</v>
      </c>
      <c r="S76" s="33">
        <v>0</v>
      </c>
    </row>
    <row r="77" spans="1:19" x14ac:dyDescent="0.2">
      <c r="A77" s="39">
        <v>57</v>
      </c>
      <c r="B77" s="6" t="s">
        <v>63</v>
      </c>
      <c r="C77" s="6">
        <v>0</v>
      </c>
      <c r="D77" s="6">
        <v>0</v>
      </c>
      <c r="E77" s="6">
        <v>29</v>
      </c>
      <c r="F77" s="23">
        <f t="shared" si="2"/>
        <v>29</v>
      </c>
      <c r="H77" s="7">
        <v>0</v>
      </c>
      <c r="I77" s="7">
        <v>0</v>
      </c>
      <c r="J77" s="7">
        <v>63.32</v>
      </c>
      <c r="K77" s="7">
        <v>63.32</v>
      </c>
      <c r="M77" s="7">
        <v>0</v>
      </c>
      <c r="N77" s="7">
        <v>131.16667000000001</v>
      </c>
      <c r="O77" s="7">
        <v>131.16667000000001</v>
      </c>
      <c r="Q77" s="33">
        <v>0</v>
      </c>
      <c r="R77" s="33">
        <v>2031.54</v>
      </c>
      <c r="S77" s="33">
        <v>2031.54</v>
      </c>
    </row>
    <row r="78" spans="1:19" x14ac:dyDescent="0.2">
      <c r="A78" s="39">
        <v>58</v>
      </c>
      <c r="B78" s="6" t="s">
        <v>64</v>
      </c>
      <c r="C78" s="6">
        <v>0</v>
      </c>
      <c r="D78" s="6">
        <v>0</v>
      </c>
      <c r="E78" s="6">
        <v>10</v>
      </c>
      <c r="F78" s="23">
        <f t="shared" si="2"/>
        <v>10</v>
      </c>
      <c r="H78" s="7">
        <v>0</v>
      </c>
      <c r="I78" s="7">
        <v>0</v>
      </c>
      <c r="J78" s="7">
        <v>66.8</v>
      </c>
      <c r="K78" s="7">
        <v>66.8</v>
      </c>
      <c r="M78" s="7">
        <v>0</v>
      </c>
      <c r="N78" s="7">
        <v>0</v>
      </c>
      <c r="O78" s="7">
        <v>0</v>
      </c>
      <c r="Q78" s="33">
        <v>0</v>
      </c>
      <c r="R78" s="33">
        <v>0</v>
      </c>
      <c r="S78" s="33">
        <v>0</v>
      </c>
    </row>
    <row r="79" spans="1:19" x14ac:dyDescent="0.2">
      <c r="A79" s="39">
        <v>59</v>
      </c>
      <c r="B79" s="6" t="s">
        <v>65</v>
      </c>
      <c r="C79" s="6">
        <v>0</v>
      </c>
      <c r="D79" s="6">
        <v>0</v>
      </c>
      <c r="E79" s="6">
        <v>30</v>
      </c>
      <c r="F79" s="23">
        <f t="shared" si="2"/>
        <v>30</v>
      </c>
      <c r="H79" s="7">
        <v>0</v>
      </c>
      <c r="I79" s="7">
        <v>0</v>
      </c>
      <c r="J79" s="7">
        <v>65.63</v>
      </c>
      <c r="K79" s="7">
        <v>65.63</v>
      </c>
      <c r="M79" s="7">
        <v>0</v>
      </c>
      <c r="N79" s="7">
        <v>136.64959999999999</v>
      </c>
      <c r="O79" s="7">
        <v>136.64959999999999</v>
      </c>
      <c r="Q79" s="33">
        <v>0</v>
      </c>
      <c r="R79" s="33">
        <v>2102.31</v>
      </c>
      <c r="S79" s="33">
        <v>2102.31</v>
      </c>
    </row>
    <row r="80" spans="1:19" x14ac:dyDescent="0.2">
      <c r="A80" s="39">
        <v>60</v>
      </c>
      <c r="B80" s="6" t="s">
        <v>66</v>
      </c>
      <c r="C80" s="6">
        <v>5</v>
      </c>
      <c r="D80" s="6">
        <v>0</v>
      </c>
      <c r="E80" s="6">
        <v>113</v>
      </c>
      <c r="F80" s="23">
        <f t="shared" si="2"/>
        <v>118</v>
      </c>
      <c r="H80" s="7">
        <v>99.2</v>
      </c>
      <c r="I80" s="7">
        <v>0</v>
      </c>
      <c r="J80" s="7">
        <v>72.989999999999995</v>
      </c>
      <c r="K80" s="7">
        <v>74.150000000000006</v>
      </c>
      <c r="M80" s="7">
        <v>424.27085999999997</v>
      </c>
      <c r="N80" s="7">
        <v>267.05259000000001</v>
      </c>
      <c r="O80" s="7">
        <v>285.33378000000005</v>
      </c>
      <c r="Q80" s="33">
        <v>4399.7299999999996</v>
      </c>
      <c r="R80" s="33">
        <v>3263.85</v>
      </c>
      <c r="S80" s="33">
        <v>3395.93</v>
      </c>
    </row>
    <row r="81" spans="1:19" x14ac:dyDescent="0.2">
      <c r="A81" s="39">
        <v>61</v>
      </c>
      <c r="B81" s="6" t="s">
        <v>67</v>
      </c>
      <c r="C81" s="6">
        <v>0</v>
      </c>
      <c r="D81" s="6">
        <v>0</v>
      </c>
      <c r="E81" s="6">
        <v>58</v>
      </c>
      <c r="F81" s="23">
        <f t="shared" si="2"/>
        <v>58</v>
      </c>
      <c r="H81" s="7">
        <v>0</v>
      </c>
      <c r="I81" s="7">
        <v>0</v>
      </c>
      <c r="J81" s="7">
        <v>71.209999999999994</v>
      </c>
      <c r="K81" s="7">
        <v>71.209999999999994</v>
      </c>
      <c r="M81" s="7">
        <v>0</v>
      </c>
      <c r="N81" s="7">
        <v>241.66296</v>
      </c>
      <c r="O81" s="7">
        <v>241.66296</v>
      </c>
      <c r="Q81" s="33">
        <v>0</v>
      </c>
      <c r="R81" s="33">
        <v>3342.32</v>
      </c>
      <c r="S81" s="33">
        <v>3342.32</v>
      </c>
    </row>
    <row r="82" spans="1:19" x14ac:dyDescent="0.2">
      <c r="A82" s="39">
        <v>62</v>
      </c>
      <c r="B82" s="29" t="s">
        <v>68</v>
      </c>
      <c r="C82" s="29">
        <v>1</v>
      </c>
      <c r="D82" s="29">
        <v>0</v>
      </c>
      <c r="E82" s="29">
        <v>12</v>
      </c>
      <c r="F82" s="23">
        <f t="shared" si="2"/>
        <v>13</v>
      </c>
      <c r="G82" s="30"/>
      <c r="H82" s="31">
        <v>73</v>
      </c>
      <c r="I82" s="31">
        <v>0</v>
      </c>
      <c r="J82" s="31">
        <v>72.91</v>
      </c>
      <c r="K82" s="31">
        <v>72.92</v>
      </c>
      <c r="L82" s="31"/>
      <c r="M82" s="7">
        <v>0</v>
      </c>
      <c r="N82" s="7">
        <v>208.92332999999999</v>
      </c>
      <c r="O82" s="7">
        <v>243.13866000000002</v>
      </c>
      <c r="P82" s="31"/>
      <c r="Q82" s="37">
        <v>0</v>
      </c>
      <c r="R82" s="37">
        <v>3264.37</v>
      </c>
      <c r="S82" s="37">
        <v>3652.59</v>
      </c>
    </row>
    <row r="83" spans="1:19" x14ac:dyDescent="0.2">
      <c r="A83" s="39">
        <v>63</v>
      </c>
      <c r="B83" s="1" t="s">
        <v>69</v>
      </c>
      <c r="C83" s="6">
        <v>0</v>
      </c>
      <c r="D83" s="6">
        <v>0</v>
      </c>
      <c r="E83" s="6">
        <v>42</v>
      </c>
      <c r="F83" s="23">
        <f t="shared" si="2"/>
        <v>42</v>
      </c>
      <c r="H83" s="7">
        <v>0</v>
      </c>
      <c r="I83" s="7">
        <v>0</v>
      </c>
      <c r="J83" s="7">
        <v>75.08</v>
      </c>
      <c r="K83" s="7">
        <v>75.08</v>
      </c>
      <c r="M83" s="7">
        <v>0</v>
      </c>
      <c r="N83" s="7">
        <v>260.58332999999999</v>
      </c>
      <c r="O83" s="7">
        <v>260.58332999999999</v>
      </c>
      <c r="Q83" s="33">
        <v>0</v>
      </c>
      <c r="R83" s="33">
        <v>3265.61</v>
      </c>
      <c r="S83" s="33">
        <v>3265.61</v>
      </c>
    </row>
    <row r="84" spans="1:19" x14ac:dyDescent="0.2">
      <c r="A84" s="39">
        <v>64</v>
      </c>
      <c r="B84" s="1" t="s">
        <v>70</v>
      </c>
      <c r="C84" s="6">
        <v>1</v>
      </c>
      <c r="D84" s="6">
        <v>0</v>
      </c>
      <c r="E84" s="6">
        <v>90</v>
      </c>
      <c r="F84" s="23">
        <f t="shared" si="2"/>
        <v>91</v>
      </c>
      <c r="H84" s="7">
        <v>0</v>
      </c>
      <c r="I84" s="7">
        <v>0</v>
      </c>
      <c r="J84" s="7">
        <v>68.88</v>
      </c>
      <c r="K84" s="7">
        <v>68.88</v>
      </c>
      <c r="M84" s="7">
        <v>0</v>
      </c>
      <c r="N84" s="7">
        <v>274.90838000000002</v>
      </c>
      <c r="O84" s="7">
        <v>274.90838000000002</v>
      </c>
      <c r="Q84" s="33">
        <v>0</v>
      </c>
      <c r="R84" s="33">
        <v>4011.77</v>
      </c>
      <c r="S84" s="33">
        <v>4011.77</v>
      </c>
    </row>
    <row r="85" spans="1:19" x14ac:dyDescent="0.2">
      <c r="A85" s="39">
        <v>65</v>
      </c>
      <c r="B85" s="1" t="s">
        <v>71</v>
      </c>
      <c r="C85" s="6">
        <v>15</v>
      </c>
      <c r="D85" s="6">
        <v>0</v>
      </c>
      <c r="E85" s="6">
        <v>50</v>
      </c>
      <c r="F85" s="23">
        <f t="shared" ref="F85:F93" si="3">SUM(C85:E85)</f>
        <v>65</v>
      </c>
      <c r="H85" s="7">
        <v>73.209999999999994</v>
      </c>
      <c r="I85" s="7">
        <v>0</v>
      </c>
      <c r="J85" s="7">
        <v>69.739999999999995</v>
      </c>
      <c r="K85" s="7">
        <v>70.66</v>
      </c>
      <c r="M85" s="7">
        <v>377.70357000000001</v>
      </c>
      <c r="N85" s="7">
        <v>277.56991999999997</v>
      </c>
      <c r="O85" s="7">
        <v>327.63673999999997</v>
      </c>
      <c r="Q85" s="33">
        <v>5361.1</v>
      </c>
      <c r="R85" s="33">
        <v>3668.14</v>
      </c>
      <c r="S85" s="33">
        <v>4514.62</v>
      </c>
    </row>
    <row r="86" spans="1:19" x14ac:dyDescent="0.2">
      <c r="A86" s="39">
        <v>66</v>
      </c>
      <c r="B86" s="1" t="s">
        <v>72</v>
      </c>
      <c r="C86" s="6">
        <v>8</v>
      </c>
      <c r="D86" s="6">
        <v>3</v>
      </c>
      <c r="E86" s="6">
        <v>32</v>
      </c>
      <c r="F86" s="23">
        <f t="shared" si="3"/>
        <v>43</v>
      </c>
      <c r="H86" s="7">
        <v>107.14</v>
      </c>
      <c r="I86" s="7">
        <v>60.67</v>
      </c>
      <c r="J86" s="7">
        <v>80.77</v>
      </c>
      <c r="K86" s="7">
        <v>83.88</v>
      </c>
      <c r="M86" s="7">
        <v>634.08164999999997</v>
      </c>
      <c r="N86" s="7">
        <v>387.21019000000001</v>
      </c>
      <c r="O86" s="7">
        <v>438.03666999999996</v>
      </c>
      <c r="Q86" s="33">
        <v>5962.62</v>
      </c>
      <c r="R86" s="33">
        <v>5132.79</v>
      </c>
      <c r="S86" s="33">
        <v>5303.64</v>
      </c>
    </row>
    <row r="87" spans="1:19" x14ac:dyDescent="0.2">
      <c r="A87" s="39">
        <v>67</v>
      </c>
      <c r="B87" s="1" t="s">
        <v>73</v>
      </c>
      <c r="C87" s="6">
        <v>1</v>
      </c>
      <c r="D87" s="6">
        <v>0</v>
      </c>
      <c r="E87" s="6">
        <v>9</v>
      </c>
      <c r="F87" s="23">
        <f t="shared" si="3"/>
        <v>10</v>
      </c>
      <c r="H87" s="7">
        <v>0</v>
      </c>
      <c r="I87" s="7">
        <v>0</v>
      </c>
      <c r="J87" s="7">
        <v>81.56</v>
      </c>
      <c r="K87" s="7">
        <v>81.56</v>
      </c>
      <c r="M87" s="7">
        <v>0</v>
      </c>
      <c r="N87" s="7">
        <v>433.77840000000003</v>
      </c>
      <c r="O87" s="7">
        <v>433.77840000000003</v>
      </c>
      <c r="Q87" s="33">
        <v>0</v>
      </c>
      <c r="R87" s="33">
        <v>5052.82</v>
      </c>
      <c r="S87" s="33">
        <v>5052.82</v>
      </c>
    </row>
    <row r="88" spans="1:19" x14ac:dyDescent="0.2">
      <c r="A88" s="39">
        <v>68</v>
      </c>
      <c r="B88" s="1" t="s">
        <v>74</v>
      </c>
      <c r="C88" s="6">
        <v>14</v>
      </c>
      <c r="D88" s="6">
        <v>0</v>
      </c>
      <c r="E88" s="6">
        <v>57</v>
      </c>
      <c r="F88" s="23">
        <f t="shared" si="3"/>
        <v>71</v>
      </c>
      <c r="H88" s="7">
        <v>77.5</v>
      </c>
      <c r="I88" s="7">
        <v>0</v>
      </c>
      <c r="J88" s="7">
        <v>71.650000000000006</v>
      </c>
      <c r="K88" s="7">
        <v>72.89</v>
      </c>
      <c r="M88" s="21">
        <v>481.97386</v>
      </c>
      <c r="N88" s="21">
        <v>343.98786999999999</v>
      </c>
      <c r="O88" s="21">
        <v>373.25763000000001</v>
      </c>
      <c r="P88" s="21"/>
      <c r="Q88" s="36">
        <v>6283.24</v>
      </c>
      <c r="R88" s="36">
        <v>4720.93</v>
      </c>
      <c r="S88" s="33">
        <v>5052.33</v>
      </c>
    </row>
    <row r="89" spans="1:19" x14ac:dyDescent="0.2">
      <c r="A89" s="39">
        <v>69</v>
      </c>
      <c r="B89" s="1" t="s">
        <v>75</v>
      </c>
      <c r="C89" s="6">
        <v>3</v>
      </c>
      <c r="D89" s="6">
        <v>2</v>
      </c>
      <c r="E89" s="6">
        <v>29</v>
      </c>
      <c r="F89" s="23">
        <f t="shared" si="3"/>
        <v>34</v>
      </c>
      <c r="H89" s="7">
        <v>65.33</v>
      </c>
      <c r="I89" s="7">
        <v>77</v>
      </c>
      <c r="J89" s="7">
        <v>89.33</v>
      </c>
      <c r="K89" s="7">
        <v>86</v>
      </c>
      <c r="M89" s="7">
        <v>266</v>
      </c>
      <c r="N89" s="7">
        <v>521.80938000000003</v>
      </c>
      <c r="O89" s="7">
        <v>492.29290999999995</v>
      </c>
      <c r="Q89" s="33">
        <v>4059.82</v>
      </c>
      <c r="R89" s="33">
        <v>5591.93</v>
      </c>
      <c r="S89" s="33">
        <v>5415.15</v>
      </c>
    </row>
    <row r="90" spans="1:19" x14ac:dyDescent="0.2">
      <c r="A90" s="39">
        <v>70</v>
      </c>
      <c r="B90" s="1" t="s">
        <v>76</v>
      </c>
      <c r="C90" s="6">
        <v>16</v>
      </c>
      <c r="D90" s="6">
        <v>1</v>
      </c>
      <c r="E90" s="6">
        <v>69</v>
      </c>
      <c r="F90" s="23">
        <f t="shared" si="3"/>
        <v>86</v>
      </c>
      <c r="H90" s="7">
        <v>75.930000000000007</v>
      </c>
      <c r="I90" s="7">
        <v>62</v>
      </c>
      <c r="J90" s="7">
        <v>59.75</v>
      </c>
      <c r="K90" s="7">
        <v>62.93</v>
      </c>
      <c r="M90" s="7">
        <v>337</v>
      </c>
      <c r="N90" s="7">
        <v>145.6027</v>
      </c>
      <c r="O90" s="7">
        <v>191.17348999999999</v>
      </c>
      <c r="Q90" s="33">
        <v>4155.79</v>
      </c>
      <c r="R90" s="33">
        <v>2338.69</v>
      </c>
      <c r="S90" s="33">
        <v>2771.33</v>
      </c>
    </row>
    <row r="91" spans="1:19" x14ac:dyDescent="0.2">
      <c r="A91" s="39">
        <v>71</v>
      </c>
      <c r="B91" s="1" t="s">
        <v>77</v>
      </c>
      <c r="C91" s="6">
        <v>9</v>
      </c>
      <c r="D91" s="6">
        <v>6</v>
      </c>
      <c r="E91" s="6">
        <v>46</v>
      </c>
      <c r="F91" s="23">
        <f t="shared" si="3"/>
        <v>61</v>
      </c>
      <c r="H91" s="7">
        <v>65.56</v>
      </c>
      <c r="I91" s="7">
        <v>75.8</v>
      </c>
      <c r="J91" s="7">
        <v>75.31</v>
      </c>
      <c r="K91" s="7">
        <v>73.7</v>
      </c>
      <c r="M91" s="7">
        <v>227.85667000000001</v>
      </c>
      <c r="N91" s="7">
        <v>259.80356999999998</v>
      </c>
      <c r="O91" s="7">
        <v>252.03270000000001</v>
      </c>
      <c r="Q91" s="33">
        <v>3573.31</v>
      </c>
      <c r="R91" s="33">
        <v>3506.3</v>
      </c>
      <c r="S91" s="33">
        <v>3522.6</v>
      </c>
    </row>
    <row r="92" spans="1:19" x14ac:dyDescent="0.2">
      <c r="A92" s="39">
        <v>72</v>
      </c>
      <c r="B92" s="1" t="s">
        <v>78</v>
      </c>
      <c r="C92" s="6">
        <v>0</v>
      </c>
      <c r="D92" s="6">
        <v>0</v>
      </c>
      <c r="E92" s="6">
        <v>44</v>
      </c>
      <c r="F92" s="23">
        <f t="shared" si="3"/>
        <v>44</v>
      </c>
      <c r="H92" s="7">
        <v>0</v>
      </c>
      <c r="I92" s="7">
        <v>0</v>
      </c>
      <c r="J92" s="7">
        <v>70.34</v>
      </c>
      <c r="K92" s="7">
        <v>70.34</v>
      </c>
      <c r="M92" s="7">
        <v>0</v>
      </c>
      <c r="N92" s="7">
        <v>225.83332999999999</v>
      </c>
      <c r="O92" s="7">
        <v>225.83332999999999</v>
      </c>
      <c r="Q92" s="33">
        <v>0</v>
      </c>
      <c r="R92" s="33">
        <v>3227.66</v>
      </c>
      <c r="S92" s="33">
        <v>3227.66</v>
      </c>
    </row>
    <row r="93" spans="1:19" x14ac:dyDescent="0.2">
      <c r="A93" s="40">
        <v>73</v>
      </c>
      <c r="B93" s="16" t="s">
        <v>79</v>
      </c>
      <c r="C93" s="18">
        <v>0</v>
      </c>
      <c r="D93" s="18">
        <v>0</v>
      </c>
      <c r="E93" s="18">
        <v>75</v>
      </c>
      <c r="F93" s="32">
        <f t="shared" si="3"/>
        <v>75</v>
      </c>
      <c r="G93" s="16"/>
      <c r="H93" s="17">
        <v>0</v>
      </c>
      <c r="I93" s="17">
        <v>0</v>
      </c>
      <c r="J93" s="17">
        <v>70.36</v>
      </c>
      <c r="K93" s="17">
        <v>70.36</v>
      </c>
      <c r="L93" s="17"/>
      <c r="M93" s="17">
        <v>0</v>
      </c>
      <c r="N93" s="17">
        <v>165.35248999999999</v>
      </c>
      <c r="O93" s="17">
        <v>165.35248999999999</v>
      </c>
      <c r="P93" s="17"/>
      <c r="Q93" s="38">
        <v>0</v>
      </c>
      <c r="R93" s="38">
        <v>2405.86</v>
      </c>
      <c r="S93" s="38">
        <v>2405.86</v>
      </c>
    </row>
    <row r="95" spans="1:19" x14ac:dyDescent="0.2">
      <c r="B95" s="22" t="s">
        <v>95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4t23_acum</vt:lpstr>
      <vt:lpstr>3t23_acum</vt:lpstr>
      <vt:lpstr>2t23_acum</vt:lpstr>
      <vt:lpstr>1t23_acum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Cortes Alvarez, Sergio</cp:lastModifiedBy>
  <dcterms:created xsi:type="dcterms:W3CDTF">2015-05-19T08:29:00Z</dcterms:created>
  <dcterms:modified xsi:type="dcterms:W3CDTF">2024-03-19T07:31:30Z</dcterms:modified>
</cp:coreProperties>
</file>
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AquestLlibreDeTreball" defaultThemeVersion="124226"/>
  <mc:AlternateContent xmlns:mc="http://schemas.openxmlformats.org/markup-compatibility/2006">
    <mc:Choice Requires="x15">
      <x15ac:absPath xmlns:x15ac="http://schemas.microsoft.com/office/spreadsheetml/2010/11/ac" url="H:\UO4100\21_WEB\WEB estadístiques\Compravendes\2024\"/>
    </mc:Choice>
  </mc:AlternateContent>
  <xr:revisionPtr revIDLastSave="0" documentId="13_ncr:1_{215F4388-06B8-4E93-A50A-8157DD05A8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4t24_acum" sheetId="9" r:id="rId1"/>
    <sheet name="3t24_acum" sheetId="8" r:id="rId2"/>
    <sheet name="2t24_acum" sheetId="7" r:id="rId3"/>
    <sheet name="1t24_acum" sheetId="6" r:id="rId4"/>
  </sheets>
  <definedNames>
    <definedName name="_xlnm._FilterDatabase" localSheetId="3" hidden="1">'1t24_acum'!$A$20:$S$93</definedName>
    <definedName name="_xlnm._FilterDatabase" localSheetId="2" hidden="1">'2t24_acum'!$A$20:$S$93</definedName>
    <definedName name="_xlnm._FilterDatabase" localSheetId="1" hidden="1">'3t24_acum'!$A$20:$S$93</definedName>
    <definedName name="_xlnm._FilterDatabase" localSheetId="0" hidden="1">'4t24_acum'!$A$20:$S$93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3" i="9" l="1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18" i="9"/>
  <c r="F17" i="9"/>
  <c r="F16" i="9"/>
  <c r="F15" i="9"/>
  <c r="F14" i="9"/>
  <c r="F13" i="9"/>
  <c r="F12" i="9"/>
  <c r="F11" i="9"/>
  <c r="F10" i="9"/>
  <c r="F9" i="9"/>
  <c r="F6" i="9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18" i="8"/>
  <c r="F17" i="8"/>
  <c r="F16" i="8"/>
  <c r="F15" i="8"/>
  <c r="F14" i="8"/>
  <c r="F13" i="8"/>
  <c r="F12" i="8"/>
  <c r="F11" i="8"/>
  <c r="F10" i="8"/>
  <c r="F9" i="8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18" i="7"/>
  <c r="F17" i="7"/>
  <c r="F16" i="7"/>
  <c r="F15" i="7"/>
  <c r="F14" i="7"/>
  <c r="F13" i="7"/>
  <c r="F12" i="7"/>
  <c r="F11" i="7"/>
  <c r="F10" i="7"/>
  <c r="F9" i="7"/>
  <c r="F6" i="7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18" i="6"/>
  <c r="F17" i="6"/>
  <c r="F16" i="6"/>
  <c r="F15" i="6"/>
  <c r="F14" i="6"/>
  <c r="F13" i="6"/>
  <c r="F12" i="6"/>
  <c r="F11" i="6"/>
  <c r="F10" i="6"/>
  <c r="F9" i="6"/>
  <c r="F6" i="6"/>
</calcChain>
</file>

<file path=xl/sharedStrings.xml><?xml version="1.0" encoding="utf-8"?>
<sst xmlns="http://schemas.openxmlformats.org/spreadsheetml/2006/main" count="436" uniqueCount="102">
  <si>
    <t>Habitatges nous lliures</t>
  </si>
  <si>
    <t>Hab. nous protegits</t>
  </si>
  <si>
    <t>Habitatge usat</t>
  </si>
  <si>
    <t>Total</t>
  </si>
  <si>
    <t>Nre. Compravendes</t>
  </si>
  <si>
    <t>Habitatge nou</t>
  </si>
  <si>
    <r>
      <t xml:space="preserve">Preu total </t>
    </r>
    <r>
      <rPr>
        <sz val="9"/>
        <rFont val="Arial"/>
        <family val="2"/>
      </rPr>
      <t>(milers d'euros)</t>
    </r>
  </si>
  <si>
    <r>
      <t>Preu /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construït</t>
    </r>
  </si>
  <si>
    <t>el Raval</t>
  </si>
  <si>
    <t>el Barri Gòtic</t>
  </si>
  <si>
    <t>la Barceloneta</t>
  </si>
  <si>
    <t>Sant Pere, Santa Caterina i la Ribera</t>
  </si>
  <si>
    <t>el Fort Pienc</t>
  </si>
  <si>
    <t>la Sagrada Família</t>
  </si>
  <si>
    <t>la Dreta de l'Eixample</t>
  </si>
  <si>
    <t>l'Antiga Esquerra de l'Eixample</t>
  </si>
  <si>
    <t>la Nova Esquerra de l'Eixample</t>
  </si>
  <si>
    <t>Sant Antoni</t>
  </si>
  <si>
    <t>el Poble Sec - Parc Montjuïc</t>
  </si>
  <si>
    <t>la Marina del Prat Vermell - Zona Franca</t>
  </si>
  <si>
    <t>la Marina de Port</t>
  </si>
  <si>
    <t>la Font de la Guatlla</t>
  </si>
  <si>
    <t>Hostafrancs</t>
  </si>
  <si>
    <t>la Bordeta</t>
  </si>
  <si>
    <t>Sants - Badal</t>
  </si>
  <si>
    <t>Sants</t>
  </si>
  <si>
    <t>les Corts</t>
  </si>
  <si>
    <t>la Maternitat i Sant Ramon</t>
  </si>
  <si>
    <t>Pedralbes</t>
  </si>
  <si>
    <t>Vallvidrera, el Tibidabo i les Planes</t>
  </si>
  <si>
    <t>Sarrià</t>
  </si>
  <si>
    <t>les Tres Torres</t>
  </si>
  <si>
    <t>Sant Gervasi - la Bonanova</t>
  </si>
  <si>
    <t>Sant Gervasi - Galvany</t>
  </si>
  <si>
    <t>el Putxet i el Farró</t>
  </si>
  <si>
    <t>Vallcarca i els Penitents</t>
  </si>
  <si>
    <t>el Coll</t>
  </si>
  <si>
    <t>la Salut</t>
  </si>
  <si>
    <t>la Vila de Gràcia</t>
  </si>
  <si>
    <t>el Camp d'en Grassot i Gràcia Nova</t>
  </si>
  <si>
    <t>el Baix Guinardó</t>
  </si>
  <si>
    <t>Can Baró</t>
  </si>
  <si>
    <t>el Guinardó</t>
  </si>
  <si>
    <t>la Font d'en Fargues</t>
  </si>
  <si>
    <t>el Carmel</t>
  </si>
  <si>
    <t>la Teixonera</t>
  </si>
  <si>
    <t>Sant Genís dels Agudells</t>
  </si>
  <si>
    <t>Montbau</t>
  </si>
  <si>
    <t>la Vall d'Hebron</t>
  </si>
  <si>
    <t>la Clota</t>
  </si>
  <si>
    <t>Horta</t>
  </si>
  <si>
    <t>Vilapicina i la Torre Llobeta</t>
  </si>
  <si>
    <t>Porta</t>
  </si>
  <si>
    <t>el Turó de la Peira</t>
  </si>
  <si>
    <t>Can Peguera</t>
  </si>
  <si>
    <t>la Guineueta</t>
  </si>
  <si>
    <t>Canyelles</t>
  </si>
  <si>
    <t>les Roquetes</t>
  </si>
  <si>
    <t>Verdun</t>
  </si>
  <si>
    <t>la Prosperitat</t>
  </si>
  <si>
    <t>la Trinitat Nova</t>
  </si>
  <si>
    <t>Torre Baró</t>
  </si>
  <si>
    <t>Ciutat Meridiana</t>
  </si>
  <si>
    <t>la Trinitat Vella</t>
  </si>
  <si>
    <t>Baró de Viver</t>
  </si>
  <si>
    <t>el Bon Pastor</t>
  </si>
  <si>
    <t>Sant Andreu</t>
  </si>
  <si>
    <t>la Sagrera</t>
  </si>
  <si>
    <t>el Congrés i els Indians</t>
  </si>
  <si>
    <t>Navas</t>
  </si>
  <si>
    <t>el Camp de l'Arpa del Clot</t>
  </si>
  <si>
    <t>el Clot</t>
  </si>
  <si>
    <t>el Parc i la Llacuna del Poblenou</t>
  </si>
  <si>
    <t>la Vila Olímpica del Poblenou</t>
  </si>
  <si>
    <t>el Poblenou</t>
  </si>
  <si>
    <t>Diagonal Mar i el Front Marítim del Poblenou</t>
  </si>
  <si>
    <t>el Besòs i el Maresme</t>
  </si>
  <si>
    <t>Provençals del Poblenou</t>
  </si>
  <si>
    <t>Sant Martí de Provençals</t>
  </si>
  <si>
    <t>la Verneda i la Pau</t>
  </si>
  <si>
    <t>Vallbona</t>
  </si>
  <si>
    <t>Ciutat Vella</t>
  </si>
  <si>
    <t>Eixample</t>
  </si>
  <si>
    <t>Sants-Montjuïc</t>
  </si>
  <si>
    <t>Les Corts</t>
  </si>
  <si>
    <t>Sarrià-Sant Gervasi</t>
  </si>
  <si>
    <t>Gràcia</t>
  </si>
  <si>
    <t>Horta-Guinardó</t>
  </si>
  <si>
    <t>Nou Barris</t>
  </si>
  <si>
    <t>Sant Martí</t>
  </si>
  <si>
    <t>Districtes municipals</t>
  </si>
  <si>
    <t>Barris</t>
  </si>
  <si>
    <t>Codi</t>
  </si>
  <si>
    <t>Compravendes d'habitatge registrades a Barcelona</t>
  </si>
  <si>
    <r>
      <t>Superfície mitjana</t>
    </r>
    <r>
      <rPr>
        <sz val="9"/>
        <rFont val="Arial"/>
        <family val="2"/>
      </rPr>
      <t xml:space="preserve"> (m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construïts)</t>
    </r>
  </si>
  <si>
    <t>* Les dades del conjunt de la ciutat no corresponen a l'agregat dels barris o districtes ja que hi poden haver habitatges que no s'han pogut geolocalitzar.</t>
  </si>
  <si>
    <t>Barcelona*</t>
  </si>
  <si>
    <t>NOTA: no es publica la informació de preus dels àmbits on hi ha menys de tres contractes registrats.</t>
  </si>
  <si>
    <r>
      <t>Període</t>
    </r>
    <r>
      <rPr>
        <b/>
        <sz val="10"/>
        <rFont val="Arial"/>
        <family val="2"/>
      </rPr>
      <t>: Gener - març 2024</t>
    </r>
  </si>
  <si>
    <r>
      <t>Període</t>
    </r>
    <r>
      <rPr>
        <b/>
        <sz val="10"/>
        <rFont val="Arial"/>
        <family val="2"/>
      </rPr>
      <t>: Gener - juny 2024</t>
    </r>
  </si>
  <si>
    <r>
      <t>Període</t>
    </r>
    <r>
      <rPr>
        <b/>
        <sz val="10"/>
        <rFont val="Arial"/>
        <family val="2"/>
      </rPr>
      <t>: Gener - setembre 2024</t>
    </r>
  </si>
  <si>
    <r>
      <t>Període</t>
    </r>
    <r>
      <rPr>
        <b/>
        <sz val="10"/>
        <rFont val="Arial"/>
        <family val="2"/>
      </rPr>
      <t>: Gener - desembre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</si>
</sst>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;\-"/>
    <numFmt numFmtId="165" formatCode="#,##0.0;;\-"/>
    <numFmt numFmtId="166" formatCode="#,##0.00;;\-"/>
  </numFmts>
  <fonts count="10" x14ac:knownFonts="1">
    <font>
      <sz val="10"/>
      <name val="Arial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vertAlign val="superscript"/>
      <sz val="9"/>
      <name val="Arial"/>
      <family val="2"/>
    </font>
    <font>
      <b/>
      <u/>
      <sz val="9"/>
      <name val="Arial"/>
      <family val="2"/>
    </font>
    <font>
      <b/>
      <u/>
      <sz val="10"/>
      <name val="Arial"/>
      <family val="2"/>
    </font>
    <font>
      <vertAlign val="superscript"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3" fontId="1" fillId="0" borderId="0" xfId="0" applyNumberFormat="1" applyFont="1"/>
    <xf numFmtId="3" fontId="2" fillId="0" borderId="0" xfId="0" applyNumberFormat="1" applyFont="1"/>
    <xf numFmtId="3" fontId="1" fillId="0" borderId="0" xfId="0" applyNumberFormat="1" applyFont="1" applyAlignment="1">
      <alignment wrapText="1"/>
    </xf>
    <xf numFmtId="3" fontId="3" fillId="0" borderId="1" xfId="0" applyNumberFormat="1" applyFont="1" applyBorder="1" applyAlignment="1">
      <alignment wrapText="1"/>
    </xf>
    <xf numFmtId="3" fontId="1" fillId="0" borderId="1" xfId="0" applyNumberFormat="1" applyFont="1" applyBorder="1" applyAlignment="1">
      <alignment wrapText="1"/>
    </xf>
    <xf numFmtId="164" fontId="1" fillId="0" borderId="0" xfId="0" applyNumberFormat="1" applyFont="1"/>
    <xf numFmtId="165" fontId="1" fillId="0" borderId="0" xfId="0" applyNumberFormat="1" applyFont="1"/>
    <xf numFmtId="165" fontId="3" fillId="0" borderId="1" xfId="0" applyNumberFormat="1" applyFont="1" applyBorder="1" applyAlignment="1">
      <alignment horizontal="centerContinuous"/>
    </xf>
    <xf numFmtId="165" fontId="1" fillId="0" borderId="1" xfId="0" applyNumberFormat="1" applyFont="1" applyBorder="1" applyAlignment="1">
      <alignment horizontal="centerContinuous"/>
    </xf>
    <xf numFmtId="165" fontId="3" fillId="0" borderId="1" xfId="0" applyNumberFormat="1" applyFont="1" applyBorder="1" applyAlignment="1">
      <alignment horizontal="right" wrapText="1"/>
    </xf>
    <xf numFmtId="165" fontId="1" fillId="0" borderId="1" xfId="0" applyNumberFormat="1" applyFont="1" applyBorder="1" applyAlignment="1">
      <alignment wrapText="1"/>
    </xf>
    <xf numFmtId="164" fontId="3" fillId="0" borderId="1" xfId="0" applyNumberFormat="1" applyFont="1" applyBorder="1" applyAlignment="1">
      <alignment horizontal="centerContinuous"/>
    </xf>
    <xf numFmtId="164" fontId="1" fillId="0" borderId="1" xfId="0" applyNumberFormat="1" applyFont="1" applyBorder="1" applyAlignment="1">
      <alignment horizontal="centerContinuous"/>
    </xf>
    <xf numFmtId="164" fontId="3" fillId="0" borderId="1" xfId="0" applyNumberFormat="1" applyFont="1" applyBorder="1" applyAlignment="1">
      <alignment horizontal="right" wrapText="1"/>
    </xf>
    <xf numFmtId="3" fontId="7" fillId="0" borderId="0" xfId="0" applyNumberFormat="1" applyFont="1" applyBorder="1" applyAlignment="1">
      <alignment wrapText="1"/>
    </xf>
    <xf numFmtId="3" fontId="1" fillId="0" borderId="1" xfId="0" applyNumberFormat="1" applyFont="1" applyBorder="1"/>
    <xf numFmtId="165" fontId="1" fillId="0" borderId="1" xfId="0" applyNumberFormat="1" applyFont="1" applyBorder="1"/>
    <xf numFmtId="164" fontId="1" fillId="0" borderId="1" xfId="0" applyNumberFormat="1" applyFont="1" applyBorder="1"/>
    <xf numFmtId="3" fontId="3" fillId="0" borderId="0" xfId="0" applyNumberFormat="1" applyFont="1" applyBorder="1" applyAlignment="1">
      <alignment wrapText="1"/>
    </xf>
    <xf numFmtId="3" fontId="8" fillId="0" borderId="0" xfId="0" applyNumberFormat="1" applyFont="1"/>
    <xf numFmtId="3" fontId="5" fillId="0" borderId="0" xfId="0" applyNumberFormat="1" applyFont="1" applyBorder="1"/>
    <xf numFmtId="3" fontId="1" fillId="0" borderId="0" xfId="0" applyNumberFormat="1" applyFont="1" applyBorder="1" applyAlignment="1">
      <alignment wrapText="1"/>
    </xf>
    <xf numFmtId="164" fontId="1" fillId="0" borderId="0" xfId="0" applyNumberFormat="1" applyFont="1" applyBorder="1"/>
    <xf numFmtId="164" fontId="1" fillId="0" borderId="1" xfId="0" applyNumberFormat="1" applyFont="1" applyBorder="1" applyAlignment="1">
      <alignment horizontal="right" wrapText="1"/>
    </xf>
    <xf numFmtId="166" fontId="1" fillId="0" borderId="0" xfId="0" applyNumberFormat="1" applyFont="1"/>
    <xf numFmtId="166" fontId="1" fillId="0" borderId="1" xfId="0" applyNumberFormat="1" applyFont="1" applyBorder="1"/>
    <xf numFmtId="0" fontId="1" fillId="0" borderId="0" xfId="0" applyFont="1"/>
    <xf numFmtId="0" fontId="1" fillId="0" borderId="1" xfId="0" applyFont="1" applyBorder="1"/>
    <xf numFmtId="164" fontId="1" fillId="0" borderId="0" xfId="0" applyNumberFormat="1" applyFont="1" applyAlignment="1">
      <alignment horizontal="right" wrapText="1"/>
    </xf>
    <xf numFmtId="165" fontId="1" fillId="0" borderId="0" xfId="0" applyNumberFormat="1" applyFont="1" applyAlignment="1">
      <alignment horizontal="right" wrapText="1"/>
    </xf>
    <xf numFmtId="165" fontId="1" fillId="0" borderId="0" xfId="0" applyNumberFormat="1" applyFont="1" applyAlignment="1">
      <alignment wrapText="1"/>
    </xf>
    <xf numFmtId="166" fontId="1" fillId="0" borderId="0" xfId="0" applyNumberFormat="1" applyFont="1" applyAlignment="1">
      <alignment horizontal="right" wrapText="1"/>
    </xf>
    <xf numFmtId="3" fontId="3" fillId="0" borderId="0" xfId="0" applyNumberFormat="1" applyFont="1" applyAlignment="1">
      <alignment wrapText="1"/>
    </xf>
    <xf numFmtId="3" fontId="7" fillId="0" borderId="0" xfId="0" applyNumberFormat="1" applyFont="1" applyAlignment="1">
      <alignment wrapText="1"/>
    </xf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F2D2-2A28-4B5B-97F1-F20022A112A7}">
  <dimension ref="A1:S95"/>
  <sheetViews>
    <sheetView tabSelected="1" workbookViewId="0"/>
  </sheetViews>
  <sheetFormatPr defaultColWidth="11.42578125" defaultRowHeight="12" x14ac:dyDescent="0.2"/>
  <cols>
    <col min="1" max="1" width="4.85546875" style="1" customWidth="1"/>
    <col min="2" max="2" width="35.7109375" style="1" customWidth="1"/>
    <col min="3" max="6" width="10.7109375" style="6" customWidth="1"/>
    <col min="7" max="7" width="2.7109375" style="1" customWidth="1"/>
    <col min="8" max="11" width="10.7109375" style="7" customWidth="1"/>
    <col min="12" max="12" width="2.7109375" style="7" customWidth="1"/>
    <col min="13" max="15" width="10.7109375" style="7" customWidth="1"/>
    <col min="16" max="16" width="2.7109375" style="7" customWidth="1"/>
    <col min="17" max="19" width="10.7109375" style="7" customWidth="1"/>
    <col min="20" max="16384" width="11.42578125" style="1"/>
  </cols>
  <sheetData>
    <row r="1" spans="1:19" ht="15" x14ac:dyDescent="0.25">
      <c r="A1" s="2" t="s">
        <v>93</v>
      </c>
    </row>
    <row r="2" spans="1:19" ht="12.75" x14ac:dyDescent="0.2">
      <c r="A2" s="20" t="s">
        <v>101</v>
      </c>
    </row>
    <row r="3" spans="1:19" x14ac:dyDescent="0.2">
      <c r="A3" s="1" t="s">
        <v>97</v>
      </c>
    </row>
    <row r="4" spans="1:19" ht="13.5" x14ac:dyDescent="0.2">
      <c r="C4" s="12" t="s">
        <v>4</v>
      </c>
      <c r="D4" s="13"/>
      <c r="E4" s="13"/>
      <c r="F4" s="13"/>
      <c r="H4" s="8" t="s">
        <v>94</v>
      </c>
      <c r="I4" s="9"/>
      <c r="J4" s="9"/>
      <c r="K4" s="9"/>
      <c r="M4" s="8" t="s">
        <v>6</v>
      </c>
      <c r="N4" s="8"/>
      <c r="O4" s="8"/>
      <c r="Q4" s="8" t="s">
        <v>7</v>
      </c>
      <c r="R4" s="8"/>
      <c r="S4" s="8"/>
    </row>
    <row r="5" spans="1:19" s="3" customFormat="1" ht="24" x14ac:dyDescent="0.2">
      <c r="A5" s="4" t="s">
        <v>92</v>
      </c>
      <c r="B5" s="4"/>
      <c r="C5" s="14" t="s">
        <v>0</v>
      </c>
      <c r="D5" s="14" t="s">
        <v>1</v>
      </c>
      <c r="E5" s="14" t="s">
        <v>2</v>
      </c>
      <c r="F5" s="14" t="s">
        <v>3</v>
      </c>
      <c r="G5" s="5"/>
      <c r="H5" s="10" t="s">
        <v>0</v>
      </c>
      <c r="I5" s="10" t="s">
        <v>1</v>
      </c>
      <c r="J5" s="10" t="s">
        <v>2</v>
      </c>
      <c r="K5" s="10" t="s">
        <v>3</v>
      </c>
      <c r="L5" s="11"/>
      <c r="M5" s="10" t="s">
        <v>5</v>
      </c>
      <c r="N5" s="10" t="s">
        <v>2</v>
      </c>
      <c r="O5" s="10" t="s">
        <v>3</v>
      </c>
      <c r="P5" s="11"/>
      <c r="Q5" s="10" t="s">
        <v>5</v>
      </c>
      <c r="R5" s="10" t="s">
        <v>2</v>
      </c>
      <c r="S5" s="10" t="s">
        <v>3</v>
      </c>
    </row>
    <row r="6" spans="1:19" s="3" customFormat="1" x14ac:dyDescent="0.2">
      <c r="B6" s="33" t="s">
        <v>96</v>
      </c>
      <c r="C6" s="6">
        <v>1674</v>
      </c>
      <c r="D6" s="6">
        <v>157</v>
      </c>
      <c r="E6" s="6">
        <v>13969</v>
      </c>
      <c r="F6" s="6">
        <f t="shared" ref="F6" si="0">SUM(C6:E6)</f>
        <v>15800</v>
      </c>
      <c r="G6" s="1"/>
      <c r="H6" s="7">
        <v>81.739999999999995</v>
      </c>
      <c r="I6" s="7">
        <v>64.08</v>
      </c>
      <c r="J6" s="7">
        <v>79.489999999999995</v>
      </c>
      <c r="K6" s="7">
        <v>79.58</v>
      </c>
      <c r="L6" s="1"/>
      <c r="M6" s="7">
        <v>424.00184999999999</v>
      </c>
      <c r="N6" s="7">
        <v>370.61221</v>
      </c>
      <c r="O6" s="7">
        <v>377.15745000000004</v>
      </c>
      <c r="P6" s="1"/>
      <c r="Q6" s="25">
        <v>5039.17</v>
      </c>
      <c r="R6" s="25">
        <v>4403.8900000000003</v>
      </c>
      <c r="S6" s="25">
        <v>4481.7700000000004</v>
      </c>
    </row>
    <row r="7" spans="1:19" s="3" customFormat="1" x14ac:dyDescent="0.2">
      <c r="C7" s="29"/>
      <c r="D7" s="29"/>
      <c r="E7" s="29"/>
      <c r="F7" s="29"/>
      <c r="H7" s="30"/>
      <c r="I7" s="30"/>
      <c r="J7" s="30"/>
      <c r="K7" s="30"/>
      <c r="L7" s="31"/>
      <c r="M7" s="30"/>
      <c r="N7" s="30"/>
      <c r="O7" s="30"/>
      <c r="P7" s="31"/>
      <c r="Q7" s="32"/>
      <c r="R7" s="32"/>
      <c r="S7" s="32"/>
    </row>
    <row r="8" spans="1:19" s="3" customFormat="1" x14ac:dyDescent="0.2">
      <c r="B8" s="34" t="s">
        <v>90</v>
      </c>
      <c r="C8" s="29"/>
      <c r="D8" s="29"/>
      <c r="E8" s="29"/>
      <c r="F8" s="29"/>
      <c r="H8" s="30"/>
      <c r="I8" s="30"/>
      <c r="J8" s="30"/>
      <c r="K8" s="30"/>
      <c r="L8" s="31"/>
      <c r="M8" s="30"/>
      <c r="N8" s="30"/>
      <c r="O8" s="30"/>
      <c r="P8" s="31"/>
      <c r="Q8" s="32"/>
      <c r="R8" s="32"/>
      <c r="S8" s="32"/>
    </row>
    <row r="9" spans="1:19" s="3" customFormat="1" x14ac:dyDescent="0.2">
      <c r="A9" s="27">
        <v>1</v>
      </c>
      <c r="B9" s="3" t="s">
        <v>81</v>
      </c>
      <c r="C9" s="29">
        <v>119</v>
      </c>
      <c r="D9" s="29">
        <v>0</v>
      </c>
      <c r="E9" s="29">
        <v>1349</v>
      </c>
      <c r="F9" s="29">
        <f t="shared" ref="F9:F18" si="1">SUM(C9:E9)</f>
        <v>1468</v>
      </c>
      <c r="H9" s="30">
        <v>76.459999999999994</v>
      </c>
      <c r="I9" s="30">
        <v>0</v>
      </c>
      <c r="J9" s="30">
        <v>65.89</v>
      </c>
      <c r="K9" s="30">
        <v>66.8</v>
      </c>
      <c r="L9" s="31"/>
      <c r="M9" s="30">
        <v>384.47665000000001</v>
      </c>
      <c r="N9" s="30">
        <v>273.7894</v>
      </c>
      <c r="O9" s="30">
        <v>283.55324000000002</v>
      </c>
      <c r="P9" s="31"/>
      <c r="Q9" s="32">
        <v>5146.07</v>
      </c>
      <c r="R9" s="32">
        <v>4137.72</v>
      </c>
      <c r="S9" s="32">
        <v>4226.67</v>
      </c>
    </row>
    <row r="10" spans="1:19" s="3" customFormat="1" x14ac:dyDescent="0.2">
      <c r="A10" s="27">
        <v>2</v>
      </c>
      <c r="B10" s="3" t="s">
        <v>82</v>
      </c>
      <c r="C10" s="29">
        <v>341</v>
      </c>
      <c r="D10" s="29">
        <v>18</v>
      </c>
      <c r="E10" s="29">
        <v>2320</v>
      </c>
      <c r="F10" s="29">
        <f t="shared" si="1"/>
        <v>2679</v>
      </c>
      <c r="H10" s="30">
        <v>95.1</v>
      </c>
      <c r="I10" s="30">
        <v>80.23</v>
      </c>
      <c r="J10" s="30">
        <v>92.1</v>
      </c>
      <c r="K10" s="30">
        <v>92.41</v>
      </c>
      <c r="L10" s="31"/>
      <c r="M10" s="30">
        <v>584.26403000000005</v>
      </c>
      <c r="N10" s="30">
        <v>495.95665000000002</v>
      </c>
      <c r="O10" s="30">
        <v>507.51089000000002</v>
      </c>
      <c r="P10" s="31"/>
      <c r="Q10" s="32">
        <v>5858.39</v>
      </c>
      <c r="R10" s="32">
        <v>5343.01</v>
      </c>
      <c r="S10" s="32">
        <v>5410.44</v>
      </c>
    </row>
    <row r="11" spans="1:19" s="3" customFormat="1" x14ac:dyDescent="0.2">
      <c r="A11" s="27">
        <v>3</v>
      </c>
      <c r="B11" s="3" t="s">
        <v>83</v>
      </c>
      <c r="C11" s="29">
        <v>267</v>
      </c>
      <c r="D11" s="29">
        <v>57</v>
      </c>
      <c r="E11" s="29">
        <v>1698</v>
      </c>
      <c r="F11" s="29">
        <f t="shared" si="1"/>
        <v>2022</v>
      </c>
      <c r="H11" s="30">
        <v>69.67</v>
      </c>
      <c r="I11" s="30">
        <v>57.67</v>
      </c>
      <c r="J11" s="30">
        <v>68.45</v>
      </c>
      <c r="K11" s="30">
        <v>68.260000000000005</v>
      </c>
      <c r="L11" s="31"/>
      <c r="M11" s="30">
        <v>349.31497999999999</v>
      </c>
      <c r="N11" s="30">
        <v>266.38537000000002</v>
      </c>
      <c r="O11" s="30">
        <v>280.26339000000002</v>
      </c>
      <c r="P11" s="31"/>
      <c r="Q11" s="32">
        <v>5114.5200000000004</v>
      </c>
      <c r="R11" s="32">
        <v>3986.54</v>
      </c>
      <c r="S11" s="32">
        <v>4175.3</v>
      </c>
    </row>
    <row r="12" spans="1:19" s="3" customFormat="1" x14ac:dyDescent="0.2">
      <c r="A12" s="27">
        <v>4</v>
      </c>
      <c r="B12" s="3" t="s">
        <v>84</v>
      </c>
      <c r="C12" s="29">
        <v>23</v>
      </c>
      <c r="D12" s="29">
        <v>1</v>
      </c>
      <c r="E12" s="29">
        <v>607</v>
      </c>
      <c r="F12" s="29">
        <f t="shared" si="1"/>
        <v>631</v>
      </c>
      <c r="H12" s="30">
        <v>89.29</v>
      </c>
      <c r="I12" s="30">
        <v>0</v>
      </c>
      <c r="J12" s="30">
        <v>95.02</v>
      </c>
      <c r="K12" s="30">
        <v>94.8</v>
      </c>
      <c r="L12" s="31"/>
      <c r="M12" s="30">
        <v>562.38094999999998</v>
      </c>
      <c r="N12" s="30">
        <v>545.68124999999998</v>
      </c>
      <c r="O12" s="30">
        <v>546.41034000000002</v>
      </c>
      <c r="P12" s="31"/>
      <c r="Q12" s="32">
        <v>6326.55</v>
      </c>
      <c r="R12" s="32">
        <v>5363.23</v>
      </c>
      <c r="S12" s="32">
        <v>5405.28</v>
      </c>
    </row>
    <row r="13" spans="1:19" s="3" customFormat="1" x14ac:dyDescent="0.2">
      <c r="A13" s="27">
        <v>5</v>
      </c>
      <c r="B13" s="3" t="s">
        <v>85</v>
      </c>
      <c r="C13" s="29">
        <v>105</v>
      </c>
      <c r="D13" s="29">
        <v>0</v>
      </c>
      <c r="E13" s="29">
        <v>1119</v>
      </c>
      <c r="F13" s="29">
        <f t="shared" si="1"/>
        <v>1224</v>
      </c>
      <c r="H13" s="30">
        <v>116.86</v>
      </c>
      <c r="I13" s="30">
        <v>0</v>
      </c>
      <c r="J13" s="30">
        <v>127.02</v>
      </c>
      <c r="K13" s="30">
        <v>126.21</v>
      </c>
      <c r="L13" s="31"/>
      <c r="M13" s="30">
        <v>790.69894999999997</v>
      </c>
      <c r="N13" s="30">
        <v>761.53843999999992</v>
      </c>
      <c r="O13" s="30">
        <v>763.94770999999992</v>
      </c>
      <c r="P13" s="31"/>
      <c r="Q13" s="32">
        <v>6658.72</v>
      </c>
      <c r="R13" s="32">
        <v>6048.61</v>
      </c>
      <c r="S13" s="32">
        <v>6099.02</v>
      </c>
    </row>
    <row r="14" spans="1:19" s="3" customFormat="1" x14ac:dyDescent="0.2">
      <c r="A14" s="27">
        <v>6</v>
      </c>
      <c r="B14" s="3" t="s">
        <v>86</v>
      </c>
      <c r="C14" s="29">
        <v>105</v>
      </c>
      <c r="D14" s="29">
        <v>2</v>
      </c>
      <c r="E14" s="29">
        <v>1003</v>
      </c>
      <c r="F14" s="29">
        <f t="shared" si="1"/>
        <v>1110</v>
      </c>
      <c r="H14" s="30">
        <v>102.62</v>
      </c>
      <c r="I14" s="30">
        <v>80</v>
      </c>
      <c r="J14" s="30">
        <v>79.72</v>
      </c>
      <c r="K14" s="30">
        <v>81.89</v>
      </c>
      <c r="L14" s="31"/>
      <c r="M14" s="30">
        <v>468.60590000000002</v>
      </c>
      <c r="N14" s="30">
        <v>378.40796</v>
      </c>
      <c r="O14" s="30">
        <v>387.07729999999998</v>
      </c>
      <c r="P14" s="31"/>
      <c r="Q14" s="32">
        <v>4773.6099999999997</v>
      </c>
      <c r="R14" s="32">
        <v>4824.97</v>
      </c>
      <c r="S14" s="32">
        <v>4820.04</v>
      </c>
    </row>
    <row r="15" spans="1:19" s="3" customFormat="1" x14ac:dyDescent="0.2">
      <c r="A15" s="27">
        <v>7</v>
      </c>
      <c r="B15" s="3" t="s">
        <v>87</v>
      </c>
      <c r="C15" s="29">
        <v>428</v>
      </c>
      <c r="D15" s="29">
        <v>30</v>
      </c>
      <c r="E15" s="29">
        <v>1206</v>
      </c>
      <c r="F15" s="29">
        <f t="shared" si="1"/>
        <v>1664</v>
      </c>
      <c r="H15" s="30">
        <v>74.23</v>
      </c>
      <c r="I15" s="30">
        <v>70.040000000000006</v>
      </c>
      <c r="J15" s="30">
        <v>68.150000000000006</v>
      </c>
      <c r="K15" s="30">
        <v>69.81</v>
      </c>
      <c r="L15" s="31"/>
      <c r="M15" s="30">
        <v>295.42613</v>
      </c>
      <c r="N15" s="30">
        <v>237.60624999999999</v>
      </c>
      <c r="O15" s="30">
        <v>253.83712</v>
      </c>
      <c r="P15" s="31"/>
      <c r="Q15" s="32">
        <v>3895.89</v>
      </c>
      <c r="R15" s="32">
        <v>3532.28</v>
      </c>
      <c r="S15" s="32">
        <v>3634.35</v>
      </c>
    </row>
    <row r="16" spans="1:19" s="3" customFormat="1" x14ac:dyDescent="0.2">
      <c r="A16" s="27">
        <v>8</v>
      </c>
      <c r="B16" s="3" t="s">
        <v>88</v>
      </c>
      <c r="C16" s="29">
        <v>17</v>
      </c>
      <c r="D16" s="29">
        <v>0</v>
      </c>
      <c r="E16" s="29">
        <v>1514</v>
      </c>
      <c r="F16" s="29">
        <f t="shared" si="1"/>
        <v>1531</v>
      </c>
      <c r="H16" s="30">
        <v>71</v>
      </c>
      <c r="I16" s="30">
        <v>0</v>
      </c>
      <c r="J16" s="30">
        <v>63.61</v>
      </c>
      <c r="K16" s="30">
        <v>63.68</v>
      </c>
      <c r="L16" s="31"/>
      <c r="M16" s="30">
        <v>231.50742000000002</v>
      </c>
      <c r="N16" s="30">
        <v>177.92778000000001</v>
      </c>
      <c r="O16" s="30">
        <v>178.64939000000001</v>
      </c>
      <c r="P16" s="31"/>
      <c r="Q16" s="32">
        <v>3589.7</v>
      </c>
      <c r="R16" s="32">
        <v>2805.24</v>
      </c>
      <c r="S16" s="32">
        <v>2815.8</v>
      </c>
    </row>
    <row r="17" spans="1:19" s="3" customFormat="1" x14ac:dyDescent="0.2">
      <c r="A17" s="27">
        <v>9</v>
      </c>
      <c r="B17" s="3" t="s">
        <v>66</v>
      </c>
      <c r="C17" s="29">
        <v>50</v>
      </c>
      <c r="D17" s="29">
        <v>7</v>
      </c>
      <c r="E17" s="29">
        <v>1170</v>
      </c>
      <c r="F17" s="29">
        <f t="shared" si="1"/>
        <v>1227</v>
      </c>
      <c r="H17" s="30">
        <v>83.13</v>
      </c>
      <c r="I17" s="30">
        <v>78</v>
      </c>
      <c r="J17" s="30">
        <v>71.56</v>
      </c>
      <c r="K17" s="30">
        <v>72.069999999999993</v>
      </c>
      <c r="L17" s="31"/>
      <c r="M17" s="30">
        <v>318.70515</v>
      </c>
      <c r="N17" s="30">
        <v>247.10804000000002</v>
      </c>
      <c r="O17" s="30">
        <v>250.98932000000002</v>
      </c>
      <c r="P17" s="31"/>
      <c r="Q17" s="32">
        <v>3863.95</v>
      </c>
      <c r="R17" s="32">
        <v>3416.91</v>
      </c>
      <c r="S17" s="32">
        <v>3441.14</v>
      </c>
    </row>
    <row r="18" spans="1:19" s="3" customFormat="1" x14ac:dyDescent="0.2">
      <c r="A18" s="27">
        <v>10</v>
      </c>
      <c r="B18" s="3" t="s">
        <v>89</v>
      </c>
      <c r="C18" s="29">
        <v>204</v>
      </c>
      <c r="D18" s="29">
        <v>42</v>
      </c>
      <c r="E18" s="29">
        <v>1889</v>
      </c>
      <c r="F18" s="29">
        <f t="shared" si="1"/>
        <v>2135</v>
      </c>
      <c r="H18" s="30">
        <v>68.92</v>
      </c>
      <c r="I18" s="30">
        <v>61.2</v>
      </c>
      <c r="J18" s="30">
        <v>74.33</v>
      </c>
      <c r="K18" s="30">
        <v>73.540000000000006</v>
      </c>
      <c r="L18" s="31"/>
      <c r="M18" s="30">
        <v>395.29133000000002</v>
      </c>
      <c r="N18" s="30">
        <v>323.90426000000002</v>
      </c>
      <c r="O18" s="30">
        <v>332.41015000000004</v>
      </c>
      <c r="P18" s="31"/>
      <c r="Q18" s="32">
        <v>5582.65</v>
      </c>
      <c r="R18" s="32">
        <v>4194.93</v>
      </c>
      <c r="S18" s="32">
        <v>4360.28</v>
      </c>
    </row>
    <row r="19" spans="1:19" s="3" customFormat="1" x14ac:dyDescent="0.2">
      <c r="A19" s="27"/>
      <c r="C19" s="29"/>
      <c r="D19" s="29"/>
      <c r="E19" s="29"/>
      <c r="F19" s="29"/>
      <c r="H19" s="30"/>
      <c r="I19" s="30"/>
      <c r="J19" s="30"/>
      <c r="K19" s="30"/>
      <c r="L19" s="31"/>
      <c r="M19" s="30"/>
      <c r="N19" s="30"/>
      <c r="O19" s="30"/>
      <c r="P19" s="31"/>
      <c r="Q19" s="32"/>
      <c r="R19" s="32"/>
      <c r="S19" s="32"/>
    </row>
    <row r="20" spans="1:19" s="3" customFormat="1" x14ac:dyDescent="0.2">
      <c r="A20" s="27"/>
      <c r="B20" s="34" t="s">
        <v>91</v>
      </c>
      <c r="C20" s="29"/>
      <c r="D20" s="29"/>
      <c r="E20" s="29"/>
      <c r="F20" s="29"/>
      <c r="H20" s="30"/>
      <c r="I20" s="30"/>
      <c r="J20" s="30"/>
      <c r="K20" s="30"/>
      <c r="L20" s="31"/>
      <c r="M20" s="30"/>
      <c r="N20" s="30"/>
      <c r="O20" s="30"/>
      <c r="P20" s="31"/>
      <c r="Q20" s="32"/>
      <c r="R20" s="32"/>
      <c r="S20" s="32"/>
    </row>
    <row r="21" spans="1:19" x14ac:dyDescent="0.2">
      <c r="A21" s="27">
        <v>1</v>
      </c>
      <c r="B21" s="6" t="s">
        <v>8</v>
      </c>
      <c r="C21" s="6">
        <v>22</v>
      </c>
      <c r="D21" s="6">
        <v>0</v>
      </c>
      <c r="E21" s="6">
        <v>637</v>
      </c>
      <c r="F21" s="29">
        <f t="shared" ref="F21:F84" si="2">SUM(C21:E21)</f>
        <v>659</v>
      </c>
      <c r="H21" s="7">
        <v>72.56</v>
      </c>
      <c r="I21" s="7">
        <v>0</v>
      </c>
      <c r="J21" s="7">
        <v>60.6</v>
      </c>
      <c r="K21" s="7">
        <v>61.03</v>
      </c>
      <c r="M21" s="7">
        <v>374.04721999999998</v>
      </c>
      <c r="N21" s="7">
        <v>187.82792000000001</v>
      </c>
      <c r="O21" s="7">
        <v>194.81114000000002</v>
      </c>
      <c r="Q21" s="25">
        <v>5626.46</v>
      </c>
      <c r="R21" s="25">
        <v>3157.57</v>
      </c>
      <c r="S21" s="25">
        <v>3250.15</v>
      </c>
    </row>
    <row r="22" spans="1:19" x14ac:dyDescent="0.2">
      <c r="A22" s="27">
        <v>2</v>
      </c>
      <c r="B22" s="6" t="s">
        <v>9</v>
      </c>
      <c r="C22" s="6">
        <v>48</v>
      </c>
      <c r="D22" s="6">
        <v>0</v>
      </c>
      <c r="E22" s="6">
        <v>229</v>
      </c>
      <c r="F22" s="29">
        <f t="shared" si="2"/>
        <v>277</v>
      </c>
      <c r="H22" s="7">
        <v>92.67</v>
      </c>
      <c r="I22" s="7">
        <v>0</v>
      </c>
      <c r="J22" s="7">
        <v>94.29</v>
      </c>
      <c r="K22" s="7">
        <v>94.02</v>
      </c>
      <c r="M22" s="7">
        <v>475.6481</v>
      </c>
      <c r="N22" s="7">
        <v>464.13491999999997</v>
      </c>
      <c r="O22" s="7">
        <v>466.09262999999999</v>
      </c>
      <c r="Q22" s="25">
        <v>5083</v>
      </c>
      <c r="R22" s="25">
        <v>4667.4799999999996</v>
      </c>
      <c r="S22" s="25">
        <v>4738.1400000000003</v>
      </c>
    </row>
    <row r="23" spans="1:19" x14ac:dyDescent="0.2">
      <c r="A23" s="27">
        <v>3</v>
      </c>
      <c r="B23" s="6" t="s">
        <v>10</v>
      </c>
      <c r="C23" s="6">
        <v>22</v>
      </c>
      <c r="D23" s="6">
        <v>0</v>
      </c>
      <c r="E23" s="6">
        <v>180</v>
      </c>
      <c r="F23" s="29">
        <f t="shared" si="2"/>
        <v>202</v>
      </c>
      <c r="H23" s="7">
        <v>37.450000000000003</v>
      </c>
      <c r="I23" s="7">
        <v>0</v>
      </c>
      <c r="J23" s="7">
        <v>43.9</v>
      </c>
      <c r="K23" s="7">
        <v>43.22</v>
      </c>
      <c r="M23" s="7">
        <v>196.75</v>
      </c>
      <c r="N23" s="7">
        <v>237.55814000000001</v>
      </c>
      <c r="O23" s="7">
        <v>233.23982000000001</v>
      </c>
      <c r="Q23" s="25">
        <v>5377.25</v>
      </c>
      <c r="R23" s="25">
        <v>5519.09</v>
      </c>
      <c r="S23" s="25">
        <v>5504.08</v>
      </c>
    </row>
    <row r="24" spans="1:19" x14ac:dyDescent="0.2">
      <c r="A24" s="27">
        <v>4</v>
      </c>
      <c r="B24" s="6" t="s">
        <v>11</v>
      </c>
      <c r="C24" s="6">
        <v>27</v>
      </c>
      <c r="D24" s="6">
        <v>0</v>
      </c>
      <c r="E24" s="6">
        <v>303</v>
      </c>
      <c r="F24" s="29">
        <f t="shared" si="2"/>
        <v>330</v>
      </c>
      <c r="H24" s="7">
        <v>82.74</v>
      </c>
      <c r="I24" s="7">
        <v>0</v>
      </c>
      <c r="J24" s="7">
        <v>67.430000000000007</v>
      </c>
      <c r="K24" s="7">
        <v>68.819999999999993</v>
      </c>
      <c r="M24" s="7">
        <v>388.66410999999999</v>
      </c>
      <c r="N24" s="7">
        <v>299.03555</v>
      </c>
      <c r="O24" s="7">
        <v>307.18359999999996</v>
      </c>
      <c r="Q24" s="25">
        <v>4752.67</v>
      </c>
      <c r="R24" s="25">
        <v>4548</v>
      </c>
      <c r="S24" s="25">
        <v>4566.6099999999997</v>
      </c>
    </row>
    <row r="25" spans="1:19" x14ac:dyDescent="0.2">
      <c r="A25" s="27">
        <v>5</v>
      </c>
      <c r="B25" s="6" t="s">
        <v>12</v>
      </c>
      <c r="C25" s="6">
        <v>8</v>
      </c>
      <c r="D25" s="6">
        <v>0</v>
      </c>
      <c r="E25" s="6">
        <v>232</v>
      </c>
      <c r="F25" s="29">
        <f t="shared" si="2"/>
        <v>240</v>
      </c>
      <c r="H25" s="7">
        <v>74</v>
      </c>
      <c r="I25" s="7">
        <v>0</v>
      </c>
      <c r="J25" s="7">
        <v>86.44</v>
      </c>
      <c r="K25" s="7">
        <v>85.99</v>
      </c>
      <c r="M25" s="7">
        <v>342.98946000000001</v>
      </c>
      <c r="N25" s="7">
        <v>395.97755999999998</v>
      </c>
      <c r="O25" s="7">
        <v>394.00590999999997</v>
      </c>
      <c r="Q25" s="25">
        <v>4605.6099999999997</v>
      </c>
      <c r="R25" s="25">
        <v>4691.42</v>
      </c>
      <c r="S25" s="25">
        <v>4688.2299999999996</v>
      </c>
    </row>
    <row r="26" spans="1:19" x14ac:dyDescent="0.2">
      <c r="A26" s="27">
        <v>6</v>
      </c>
      <c r="B26" s="6" t="s">
        <v>13</v>
      </c>
      <c r="C26" s="6">
        <v>34</v>
      </c>
      <c r="D26" s="6">
        <v>0</v>
      </c>
      <c r="E26" s="6">
        <v>466</v>
      </c>
      <c r="F26" s="29">
        <f t="shared" si="2"/>
        <v>500</v>
      </c>
      <c r="H26" s="7">
        <v>88.2</v>
      </c>
      <c r="I26" s="7">
        <v>0</v>
      </c>
      <c r="J26" s="7">
        <v>74.05</v>
      </c>
      <c r="K26" s="7">
        <v>75.02</v>
      </c>
      <c r="M26" s="7">
        <v>528.38599999999997</v>
      </c>
      <c r="N26" s="7">
        <v>342.55975000000001</v>
      </c>
      <c r="O26" s="7">
        <v>356.01913000000002</v>
      </c>
      <c r="Q26" s="25">
        <v>6149.28</v>
      </c>
      <c r="R26" s="25">
        <v>4772.03</v>
      </c>
      <c r="S26" s="25">
        <v>4871.78</v>
      </c>
    </row>
    <row r="27" spans="1:19" x14ac:dyDescent="0.2">
      <c r="A27" s="27">
        <v>7</v>
      </c>
      <c r="B27" s="6" t="s">
        <v>14</v>
      </c>
      <c r="C27" s="6">
        <v>97</v>
      </c>
      <c r="D27" s="6">
        <v>0</v>
      </c>
      <c r="E27" s="6">
        <v>533</v>
      </c>
      <c r="F27" s="29">
        <f t="shared" si="2"/>
        <v>630</v>
      </c>
      <c r="H27" s="7">
        <v>130.78</v>
      </c>
      <c r="I27" s="7">
        <v>0</v>
      </c>
      <c r="J27" s="7">
        <v>118.36</v>
      </c>
      <c r="K27" s="7">
        <v>120.11</v>
      </c>
      <c r="M27" s="7">
        <v>1008.80599</v>
      </c>
      <c r="N27" s="7">
        <v>755.55287999999996</v>
      </c>
      <c r="O27" s="7">
        <v>791.66402000000005</v>
      </c>
      <c r="Q27" s="25">
        <v>7656.48</v>
      </c>
      <c r="R27" s="25">
        <v>6396.12</v>
      </c>
      <c r="S27" s="25">
        <v>6575.83</v>
      </c>
    </row>
    <row r="28" spans="1:19" x14ac:dyDescent="0.2">
      <c r="A28" s="27">
        <v>8</v>
      </c>
      <c r="B28" s="6" t="s">
        <v>15</v>
      </c>
      <c r="C28" s="6">
        <v>22</v>
      </c>
      <c r="D28" s="6">
        <v>1</v>
      </c>
      <c r="E28" s="6">
        <v>409</v>
      </c>
      <c r="F28" s="29">
        <f t="shared" si="2"/>
        <v>432</v>
      </c>
      <c r="H28" s="7">
        <v>104</v>
      </c>
      <c r="I28" s="7">
        <v>52</v>
      </c>
      <c r="J28" s="7">
        <v>97.54</v>
      </c>
      <c r="K28" s="7">
        <v>97.74</v>
      </c>
      <c r="M28" s="7">
        <v>804.36857999999995</v>
      </c>
      <c r="N28" s="7">
        <v>540.54575999999997</v>
      </c>
      <c r="O28" s="7">
        <v>553.98446000000001</v>
      </c>
      <c r="Q28" s="25">
        <v>7430.44</v>
      </c>
      <c r="R28" s="25">
        <v>5689.85</v>
      </c>
      <c r="S28" s="25">
        <v>5778.51</v>
      </c>
    </row>
    <row r="29" spans="1:19" x14ac:dyDescent="0.2">
      <c r="A29" s="27">
        <v>9</v>
      </c>
      <c r="B29" s="6" t="s">
        <v>16</v>
      </c>
      <c r="C29" s="6">
        <v>150</v>
      </c>
      <c r="D29" s="6">
        <v>12</v>
      </c>
      <c r="E29" s="6">
        <v>349</v>
      </c>
      <c r="F29" s="29">
        <f t="shared" si="2"/>
        <v>511</v>
      </c>
      <c r="H29" s="7">
        <v>77.33</v>
      </c>
      <c r="I29" s="7">
        <v>79.44</v>
      </c>
      <c r="J29" s="7">
        <v>82.32</v>
      </c>
      <c r="K29" s="7">
        <v>80.77</v>
      </c>
      <c r="M29" s="7">
        <v>371.73869000000002</v>
      </c>
      <c r="N29" s="7">
        <v>409.62804</v>
      </c>
      <c r="O29" s="7">
        <v>397.02936</v>
      </c>
      <c r="Q29" s="25">
        <v>4867.26</v>
      </c>
      <c r="R29" s="25">
        <v>4982.93</v>
      </c>
      <c r="S29" s="25">
        <v>4944.47</v>
      </c>
    </row>
    <row r="30" spans="1:19" x14ac:dyDescent="0.2">
      <c r="A30" s="27">
        <v>10</v>
      </c>
      <c r="B30" s="6" t="s">
        <v>17</v>
      </c>
      <c r="C30" s="6">
        <v>30</v>
      </c>
      <c r="D30" s="6">
        <v>5</v>
      </c>
      <c r="E30" s="6">
        <v>331</v>
      </c>
      <c r="F30" s="29">
        <f t="shared" si="2"/>
        <v>366</v>
      </c>
      <c r="H30" s="7">
        <v>91.56</v>
      </c>
      <c r="I30" s="7">
        <v>92</v>
      </c>
      <c r="J30" s="7">
        <v>82.88</v>
      </c>
      <c r="K30" s="7">
        <v>83.69</v>
      </c>
      <c r="M30" s="7">
        <v>420.51047999999997</v>
      </c>
      <c r="N30" s="7">
        <v>385.72922</v>
      </c>
      <c r="O30" s="7">
        <v>388.70706999999999</v>
      </c>
      <c r="Q30" s="25">
        <v>4589.7</v>
      </c>
      <c r="R30" s="25">
        <v>4800.2299999999996</v>
      </c>
      <c r="S30" s="25">
        <v>4782.21</v>
      </c>
    </row>
    <row r="31" spans="1:19" x14ac:dyDescent="0.2">
      <c r="A31" s="27">
        <v>11</v>
      </c>
      <c r="B31" s="6" t="s">
        <v>18</v>
      </c>
      <c r="C31" s="6">
        <v>7</v>
      </c>
      <c r="D31" s="6">
        <v>0</v>
      </c>
      <c r="E31" s="6">
        <v>441</v>
      </c>
      <c r="F31" s="29">
        <f t="shared" si="2"/>
        <v>448</v>
      </c>
      <c r="H31" s="7">
        <v>66.83</v>
      </c>
      <c r="I31" s="7">
        <v>0</v>
      </c>
      <c r="J31" s="7">
        <v>62.21</v>
      </c>
      <c r="K31" s="7">
        <v>62.28</v>
      </c>
      <c r="M31" s="7">
        <v>350.16683</v>
      </c>
      <c r="N31" s="7">
        <v>249.51575</v>
      </c>
      <c r="O31" s="7">
        <v>251.13915</v>
      </c>
      <c r="Q31" s="25">
        <v>5185.1899999999996</v>
      </c>
      <c r="R31" s="25">
        <v>4126.8900000000003</v>
      </c>
      <c r="S31" s="25">
        <v>4143.96</v>
      </c>
    </row>
    <row r="32" spans="1:19" x14ac:dyDescent="0.2">
      <c r="A32" s="27">
        <v>12</v>
      </c>
      <c r="B32" s="6" t="s">
        <v>19</v>
      </c>
      <c r="C32" s="6">
        <v>167</v>
      </c>
      <c r="D32" s="6">
        <v>56</v>
      </c>
      <c r="E32" s="6">
        <v>78</v>
      </c>
      <c r="F32" s="29">
        <f t="shared" si="2"/>
        <v>301</v>
      </c>
      <c r="H32" s="7">
        <v>69.94</v>
      </c>
      <c r="I32" s="7">
        <v>57.75</v>
      </c>
      <c r="J32" s="7">
        <v>80.69</v>
      </c>
      <c r="K32" s="7">
        <v>70.319999999999993</v>
      </c>
      <c r="M32" s="7">
        <v>386.45943</v>
      </c>
      <c r="N32" s="7">
        <v>353.93011999999999</v>
      </c>
      <c r="O32" s="7">
        <v>376.94873999999999</v>
      </c>
      <c r="Q32" s="25">
        <v>5670.71</v>
      </c>
      <c r="R32" s="25">
        <v>4429.6099999999997</v>
      </c>
      <c r="S32" s="25">
        <v>5307.85</v>
      </c>
    </row>
    <row r="33" spans="1:19" x14ac:dyDescent="0.2">
      <c r="A33" s="27">
        <v>13</v>
      </c>
      <c r="B33" s="6" t="s">
        <v>20</v>
      </c>
      <c r="C33" s="6">
        <v>9</v>
      </c>
      <c r="D33" s="6">
        <v>0</v>
      </c>
      <c r="E33" s="6">
        <v>257</v>
      </c>
      <c r="F33" s="29">
        <f t="shared" si="2"/>
        <v>266</v>
      </c>
      <c r="H33" s="7">
        <v>52.78</v>
      </c>
      <c r="I33" s="7">
        <v>0</v>
      </c>
      <c r="J33" s="7">
        <v>72.95</v>
      </c>
      <c r="K33" s="7">
        <v>72.180000000000007</v>
      </c>
      <c r="M33" s="7">
        <v>186.83332999999999</v>
      </c>
      <c r="N33" s="7">
        <v>274.17844000000002</v>
      </c>
      <c r="O33" s="7">
        <v>269.78679</v>
      </c>
      <c r="Q33" s="25">
        <v>3641.8</v>
      </c>
      <c r="R33" s="25">
        <v>3821.24</v>
      </c>
      <c r="S33" s="25">
        <v>3812.22</v>
      </c>
    </row>
    <row r="34" spans="1:19" x14ac:dyDescent="0.2">
      <c r="A34" s="27">
        <v>14</v>
      </c>
      <c r="B34" s="6" t="s">
        <v>21</v>
      </c>
      <c r="C34" s="6">
        <v>10</v>
      </c>
      <c r="D34" s="6">
        <v>0</v>
      </c>
      <c r="E34" s="6">
        <v>69</v>
      </c>
      <c r="F34" s="29">
        <f t="shared" si="2"/>
        <v>79</v>
      </c>
      <c r="H34" s="7">
        <v>75.78</v>
      </c>
      <c r="I34" s="7">
        <v>0</v>
      </c>
      <c r="J34" s="7">
        <v>77.81</v>
      </c>
      <c r="K34" s="7">
        <v>77.540000000000006</v>
      </c>
      <c r="M34" s="7">
        <v>330.11111</v>
      </c>
      <c r="N34" s="7">
        <v>267.88135999999997</v>
      </c>
      <c r="O34" s="7">
        <v>276.11765000000003</v>
      </c>
      <c r="Q34" s="25">
        <v>4475.1899999999996</v>
      </c>
      <c r="R34" s="25">
        <v>3744.49</v>
      </c>
      <c r="S34" s="25">
        <v>3841.2</v>
      </c>
    </row>
    <row r="35" spans="1:19" x14ac:dyDescent="0.2">
      <c r="A35" s="27">
        <v>15</v>
      </c>
      <c r="B35" s="6" t="s">
        <v>22</v>
      </c>
      <c r="C35" s="6">
        <v>28</v>
      </c>
      <c r="D35" s="6">
        <v>0</v>
      </c>
      <c r="E35" s="6">
        <v>106</v>
      </c>
      <c r="F35" s="29">
        <f t="shared" si="2"/>
        <v>134</v>
      </c>
      <c r="H35" s="7">
        <v>67.81</v>
      </c>
      <c r="I35" s="7">
        <v>0</v>
      </c>
      <c r="J35" s="7">
        <v>70.64</v>
      </c>
      <c r="K35" s="7">
        <v>70.05</v>
      </c>
      <c r="M35" s="7">
        <v>294.68496000000005</v>
      </c>
      <c r="N35" s="7">
        <v>279.86322999999999</v>
      </c>
      <c r="O35" s="7">
        <v>282.99628000000001</v>
      </c>
      <c r="Q35" s="25">
        <v>4382.45</v>
      </c>
      <c r="R35" s="25">
        <v>4010.79</v>
      </c>
      <c r="S35" s="25">
        <v>4089.35</v>
      </c>
    </row>
    <row r="36" spans="1:19" x14ac:dyDescent="0.2">
      <c r="A36" s="27">
        <v>16</v>
      </c>
      <c r="B36" s="6" t="s">
        <v>23</v>
      </c>
      <c r="C36" s="6">
        <v>5</v>
      </c>
      <c r="D36" s="6">
        <v>1</v>
      </c>
      <c r="E36" s="6">
        <v>188</v>
      </c>
      <c r="F36" s="29">
        <f t="shared" si="2"/>
        <v>194</v>
      </c>
      <c r="H36" s="7">
        <v>90.33</v>
      </c>
      <c r="I36" s="7">
        <v>53</v>
      </c>
      <c r="J36" s="7">
        <v>70.59</v>
      </c>
      <c r="K36" s="7">
        <v>70.89</v>
      </c>
      <c r="M36" s="7">
        <v>322.48333000000002</v>
      </c>
      <c r="N36" s="7">
        <v>249.06204</v>
      </c>
      <c r="O36" s="7">
        <v>251.04640000000001</v>
      </c>
      <c r="Q36" s="25">
        <v>4168.1499999999996</v>
      </c>
      <c r="R36" s="25">
        <v>3534.17</v>
      </c>
      <c r="S36" s="25">
        <v>3551.3</v>
      </c>
    </row>
    <row r="37" spans="1:19" x14ac:dyDescent="0.2">
      <c r="A37" s="27">
        <v>17</v>
      </c>
      <c r="B37" s="6" t="s">
        <v>24</v>
      </c>
      <c r="C37" s="6">
        <v>16</v>
      </c>
      <c r="D37" s="6">
        <v>0</v>
      </c>
      <c r="E37" s="6">
        <v>220</v>
      </c>
      <c r="F37" s="29">
        <f t="shared" si="2"/>
        <v>236</v>
      </c>
      <c r="H37" s="7">
        <v>79.45</v>
      </c>
      <c r="I37" s="7">
        <v>0</v>
      </c>
      <c r="J37" s="7">
        <v>65.13</v>
      </c>
      <c r="K37" s="7">
        <v>65.95</v>
      </c>
      <c r="M37" s="7">
        <v>247.54545000000002</v>
      </c>
      <c r="N37" s="7">
        <v>258.36248000000001</v>
      </c>
      <c r="O37" s="7">
        <v>257.57447999999999</v>
      </c>
      <c r="Q37" s="25">
        <v>3266.88</v>
      </c>
      <c r="R37" s="25">
        <v>4068.46</v>
      </c>
      <c r="S37" s="25">
        <v>4010.07</v>
      </c>
    </row>
    <row r="38" spans="1:19" x14ac:dyDescent="0.2">
      <c r="A38" s="27">
        <v>18</v>
      </c>
      <c r="B38" s="6" t="s">
        <v>25</v>
      </c>
      <c r="C38" s="6">
        <v>25</v>
      </c>
      <c r="D38" s="6">
        <v>0</v>
      </c>
      <c r="E38" s="6">
        <v>339</v>
      </c>
      <c r="F38" s="29">
        <f t="shared" si="2"/>
        <v>364</v>
      </c>
      <c r="H38" s="7">
        <v>66.27</v>
      </c>
      <c r="I38" s="7">
        <v>0</v>
      </c>
      <c r="J38" s="7">
        <v>68.239999999999995</v>
      </c>
      <c r="K38" s="7">
        <v>68.13</v>
      </c>
      <c r="M38" s="7">
        <v>219.13333</v>
      </c>
      <c r="N38" s="7">
        <v>268.28017999999997</v>
      </c>
      <c r="O38" s="7">
        <v>265.07495</v>
      </c>
      <c r="Q38" s="25">
        <v>2974.41</v>
      </c>
      <c r="R38" s="25">
        <v>3965.5</v>
      </c>
      <c r="S38" s="25">
        <v>3900.86</v>
      </c>
    </row>
    <row r="39" spans="1:19" x14ac:dyDescent="0.2">
      <c r="A39" s="27">
        <v>19</v>
      </c>
      <c r="B39" s="6" t="s">
        <v>26</v>
      </c>
      <c r="C39" s="6">
        <v>22</v>
      </c>
      <c r="D39" s="6">
        <v>1</v>
      </c>
      <c r="E39" s="6">
        <v>348</v>
      </c>
      <c r="F39" s="29">
        <f t="shared" si="2"/>
        <v>371</v>
      </c>
      <c r="H39" s="7">
        <v>88.75</v>
      </c>
      <c r="I39" s="7">
        <v>0</v>
      </c>
      <c r="J39" s="7">
        <v>83.93</v>
      </c>
      <c r="K39" s="7">
        <v>84.23</v>
      </c>
      <c r="M39" s="7">
        <v>561.75</v>
      </c>
      <c r="N39" s="7">
        <v>446.64420000000001</v>
      </c>
      <c r="O39" s="7">
        <v>454.34358000000003</v>
      </c>
      <c r="Q39" s="25">
        <v>6355.38</v>
      </c>
      <c r="R39" s="25">
        <v>5272.28</v>
      </c>
      <c r="S39" s="25">
        <v>5344.73</v>
      </c>
    </row>
    <row r="40" spans="1:19" x14ac:dyDescent="0.2">
      <c r="A40" s="27">
        <v>20</v>
      </c>
      <c r="B40" s="6" t="s">
        <v>27</v>
      </c>
      <c r="C40" s="6">
        <v>0</v>
      </c>
      <c r="D40" s="6">
        <v>0</v>
      </c>
      <c r="E40" s="6">
        <v>162</v>
      </c>
      <c r="F40" s="29">
        <f t="shared" si="2"/>
        <v>162</v>
      </c>
      <c r="H40" s="7">
        <v>0</v>
      </c>
      <c r="I40" s="7">
        <v>0</v>
      </c>
      <c r="J40" s="7">
        <v>83.88</v>
      </c>
      <c r="K40" s="7">
        <v>83.88</v>
      </c>
      <c r="M40" s="7">
        <v>0</v>
      </c>
      <c r="N40" s="7">
        <v>391.99968999999999</v>
      </c>
      <c r="O40" s="7">
        <v>391.99968999999999</v>
      </c>
      <c r="Q40" s="25">
        <v>0</v>
      </c>
      <c r="R40" s="25">
        <v>4574.96</v>
      </c>
      <c r="S40" s="25">
        <v>4574.96</v>
      </c>
    </row>
    <row r="41" spans="1:19" x14ac:dyDescent="0.2">
      <c r="A41" s="27">
        <v>21</v>
      </c>
      <c r="B41" s="6" t="s">
        <v>28</v>
      </c>
      <c r="C41" s="6">
        <v>1</v>
      </c>
      <c r="D41" s="6">
        <v>0</v>
      </c>
      <c r="E41" s="6">
        <v>97</v>
      </c>
      <c r="F41" s="29">
        <f t="shared" si="2"/>
        <v>98</v>
      </c>
      <c r="H41" s="7">
        <v>100</v>
      </c>
      <c r="I41" s="7">
        <v>0</v>
      </c>
      <c r="J41" s="7">
        <v>153.69</v>
      </c>
      <c r="K41" s="7">
        <v>153.06</v>
      </c>
      <c r="M41" s="7">
        <v>0</v>
      </c>
      <c r="N41" s="7">
        <v>1121.5746799999999</v>
      </c>
      <c r="O41" s="7">
        <v>1114.47631</v>
      </c>
      <c r="Q41" s="25">
        <v>0</v>
      </c>
      <c r="R41" s="25">
        <v>6786.15</v>
      </c>
      <c r="S41" s="25">
        <v>6772.69</v>
      </c>
    </row>
    <row r="42" spans="1:19" x14ac:dyDescent="0.2">
      <c r="A42" s="27">
        <v>22</v>
      </c>
      <c r="B42" s="6" t="s">
        <v>29</v>
      </c>
      <c r="C42" s="6">
        <v>1</v>
      </c>
      <c r="D42" s="6">
        <v>0</v>
      </c>
      <c r="E42" s="6">
        <v>22</v>
      </c>
      <c r="F42" s="29">
        <f t="shared" si="2"/>
        <v>23</v>
      </c>
      <c r="H42" s="7">
        <v>86</v>
      </c>
      <c r="I42" s="7">
        <v>0</v>
      </c>
      <c r="J42" s="7">
        <v>139.43</v>
      </c>
      <c r="K42" s="7">
        <v>135.87</v>
      </c>
      <c r="M42" s="7">
        <v>0</v>
      </c>
      <c r="N42" s="7">
        <v>466.76922999999999</v>
      </c>
      <c r="O42" s="7">
        <v>462</v>
      </c>
      <c r="Q42" s="25">
        <v>0</v>
      </c>
      <c r="R42" s="25">
        <v>3730.04</v>
      </c>
      <c r="S42" s="25">
        <v>3795.83</v>
      </c>
    </row>
    <row r="43" spans="1:19" x14ac:dyDescent="0.2">
      <c r="A43" s="27">
        <v>23</v>
      </c>
      <c r="B43" s="6" t="s">
        <v>30</v>
      </c>
      <c r="C43" s="6">
        <v>8</v>
      </c>
      <c r="D43" s="6">
        <v>0</v>
      </c>
      <c r="E43" s="6">
        <v>156</v>
      </c>
      <c r="F43" s="29">
        <f t="shared" si="2"/>
        <v>164</v>
      </c>
      <c r="H43" s="7">
        <v>155.13</v>
      </c>
      <c r="I43" s="7">
        <v>0</v>
      </c>
      <c r="J43" s="7">
        <v>123.29</v>
      </c>
      <c r="K43" s="7">
        <v>125.01</v>
      </c>
      <c r="M43" s="7">
        <v>1794.5225</v>
      </c>
      <c r="N43" s="7">
        <v>828.22573</v>
      </c>
      <c r="O43" s="7">
        <v>885.91508999999996</v>
      </c>
      <c r="Q43" s="25">
        <v>10598.37</v>
      </c>
      <c r="R43" s="25">
        <v>6845.57</v>
      </c>
      <c r="S43" s="25">
        <v>7069.62</v>
      </c>
    </row>
    <row r="44" spans="1:19" x14ac:dyDescent="0.2">
      <c r="A44" s="27">
        <v>24</v>
      </c>
      <c r="B44" s="6" t="s">
        <v>31</v>
      </c>
      <c r="C44" s="6">
        <v>3</v>
      </c>
      <c r="D44" s="6">
        <v>0</v>
      </c>
      <c r="E44" s="6">
        <v>123</v>
      </c>
      <c r="F44" s="29">
        <f t="shared" si="2"/>
        <v>126</v>
      </c>
      <c r="H44" s="7">
        <v>177.67</v>
      </c>
      <c r="I44" s="7">
        <v>0</v>
      </c>
      <c r="J44" s="7">
        <v>154.16999999999999</v>
      </c>
      <c r="K44" s="7">
        <v>154.81</v>
      </c>
      <c r="M44" s="7">
        <v>1023.3333299999999</v>
      </c>
      <c r="N44" s="7">
        <v>996.36652000000004</v>
      </c>
      <c r="O44" s="7">
        <v>997.16750999999999</v>
      </c>
      <c r="Q44" s="25">
        <v>6022.93</v>
      </c>
      <c r="R44" s="25">
        <v>6495.87</v>
      </c>
      <c r="S44" s="25">
        <v>6481.82</v>
      </c>
    </row>
    <row r="45" spans="1:19" x14ac:dyDescent="0.2">
      <c r="A45" s="27">
        <v>25</v>
      </c>
      <c r="B45" s="6" t="s">
        <v>32</v>
      </c>
      <c r="C45" s="6">
        <v>29</v>
      </c>
      <c r="D45" s="6">
        <v>0</v>
      </c>
      <c r="E45" s="6">
        <v>172</v>
      </c>
      <c r="F45" s="29">
        <f t="shared" si="2"/>
        <v>201</v>
      </c>
      <c r="H45" s="7">
        <v>87</v>
      </c>
      <c r="I45" s="7">
        <v>0</v>
      </c>
      <c r="J45" s="7">
        <v>121.59</v>
      </c>
      <c r="K45" s="7">
        <v>116.82</v>
      </c>
      <c r="M45" s="7">
        <v>575.88042000000007</v>
      </c>
      <c r="N45" s="7">
        <v>784.45650999999998</v>
      </c>
      <c r="O45" s="7">
        <v>755.68739000000005</v>
      </c>
      <c r="Q45" s="25">
        <v>6688.63</v>
      </c>
      <c r="R45" s="25">
        <v>6464.29</v>
      </c>
      <c r="S45" s="25">
        <v>6495.23</v>
      </c>
    </row>
    <row r="46" spans="1:19" x14ac:dyDescent="0.2">
      <c r="A46" s="27">
        <v>26</v>
      </c>
      <c r="B46" s="6" t="s">
        <v>33</v>
      </c>
      <c r="C46" s="6">
        <v>50</v>
      </c>
      <c r="D46" s="6">
        <v>0</v>
      </c>
      <c r="E46" s="6">
        <v>415</v>
      </c>
      <c r="F46" s="29">
        <f t="shared" si="2"/>
        <v>465</v>
      </c>
      <c r="H46" s="7">
        <v>135</v>
      </c>
      <c r="I46" s="7">
        <v>0</v>
      </c>
      <c r="J46" s="7">
        <v>137.07</v>
      </c>
      <c r="K46" s="7">
        <v>136.86000000000001</v>
      </c>
      <c r="M46" s="7">
        <v>809.72616000000005</v>
      </c>
      <c r="N46" s="7">
        <v>819.69780000000003</v>
      </c>
      <c r="O46" s="7">
        <v>818.68127000000004</v>
      </c>
      <c r="Q46" s="25">
        <v>6132.11</v>
      </c>
      <c r="R46" s="25">
        <v>6052.43</v>
      </c>
      <c r="S46" s="25">
        <v>6060.55</v>
      </c>
    </row>
    <row r="47" spans="1:19" x14ac:dyDescent="0.2">
      <c r="A47" s="27">
        <v>27</v>
      </c>
      <c r="B47" s="6" t="s">
        <v>34</v>
      </c>
      <c r="C47" s="6">
        <v>14</v>
      </c>
      <c r="D47" s="6">
        <v>0</v>
      </c>
      <c r="E47" s="6">
        <v>231</v>
      </c>
      <c r="F47" s="29">
        <f t="shared" si="2"/>
        <v>245</v>
      </c>
      <c r="H47" s="7">
        <v>61</v>
      </c>
      <c r="I47" s="7">
        <v>0</v>
      </c>
      <c r="J47" s="7">
        <v>101.39</v>
      </c>
      <c r="K47" s="7">
        <v>99.77</v>
      </c>
      <c r="M47" s="7">
        <v>348.33332999999999</v>
      </c>
      <c r="N47" s="7">
        <v>510.14883000000003</v>
      </c>
      <c r="O47" s="7">
        <v>503.46836999999999</v>
      </c>
      <c r="Q47" s="25">
        <v>5969.52</v>
      </c>
      <c r="R47" s="25">
        <v>5197.5600000000004</v>
      </c>
      <c r="S47" s="25">
        <v>5229.43</v>
      </c>
    </row>
    <row r="48" spans="1:19" x14ac:dyDescent="0.2">
      <c r="A48" s="27">
        <v>28</v>
      </c>
      <c r="B48" s="6" t="s">
        <v>35</v>
      </c>
      <c r="C48" s="6">
        <v>67</v>
      </c>
      <c r="D48" s="6">
        <v>2</v>
      </c>
      <c r="E48" s="6">
        <v>95</v>
      </c>
      <c r="F48" s="29">
        <f t="shared" si="2"/>
        <v>164</v>
      </c>
      <c r="H48" s="7">
        <v>116.03</v>
      </c>
      <c r="I48" s="7">
        <v>80</v>
      </c>
      <c r="J48" s="7">
        <v>92.94</v>
      </c>
      <c r="K48" s="7">
        <v>102.06</v>
      </c>
      <c r="M48" s="7">
        <v>468.37146999999999</v>
      </c>
      <c r="N48" s="7">
        <v>420.54128000000003</v>
      </c>
      <c r="O48" s="7">
        <v>440.41439000000003</v>
      </c>
      <c r="Q48" s="25">
        <v>4471.8999999999996</v>
      </c>
      <c r="R48" s="25">
        <v>4475.6099999999997</v>
      </c>
      <c r="S48" s="25">
        <v>4474.07</v>
      </c>
    </row>
    <row r="49" spans="1:19" x14ac:dyDescent="0.2">
      <c r="A49" s="27">
        <v>29</v>
      </c>
      <c r="B49" s="6" t="s">
        <v>36</v>
      </c>
      <c r="C49" s="6">
        <v>14</v>
      </c>
      <c r="D49" s="6">
        <v>0</v>
      </c>
      <c r="E49" s="6">
        <v>37</v>
      </c>
      <c r="F49" s="29">
        <f t="shared" si="2"/>
        <v>51</v>
      </c>
      <c r="H49" s="7">
        <v>70.569999999999993</v>
      </c>
      <c r="I49" s="7">
        <v>0</v>
      </c>
      <c r="J49" s="7">
        <v>74.83</v>
      </c>
      <c r="K49" s="7">
        <v>73.64</v>
      </c>
      <c r="M49" s="7">
        <v>253.78579000000002</v>
      </c>
      <c r="N49" s="7">
        <v>274.06650000000002</v>
      </c>
      <c r="O49" s="7">
        <v>268.15128999999996</v>
      </c>
      <c r="Q49" s="25">
        <v>3608.41</v>
      </c>
      <c r="R49" s="25">
        <v>3522.11</v>
      </c>
      <c r="S49" s="25">
        <v>3547.28</v>
      </c>
    </row>
    <row r="50" spans="1:19" x14ac:dyDescent="0.2">
      <c r="A50" s="27">
        <v>30</v>
      </c>
      <c r="B50" s="6" t="s">
        <v>37</v>
      </c>
      <c r="C50" s="6">
        <v>6</v>
      </c>
      <c r="D50" s="6">
        <v>0</v>
      </c>
      <c r="E50" s="6">
        <v>128</v>
      </c>
      <c r="F50" s="29">
        <f t="shared" si="2"/>
        <v>134</v>
      </c>
      <c r="H50" s="7">
        <v>83.2</v>
      </c>
      <c r="I50" s="7">
        <v>0</v>
      </c>
      <c r="J50" s="7">
        <v>87.45</v>
      </c>
      <c r="K50" s="7">
        <v>87.28</v>
      </c>
      <c r="M50" s="7">
        <v>511</v>
      </c>
      <c r="N50" s="7">
        <v>391.91077000000001</v>
      </c>
      <c r="O50" s="7">
        <v>396.7518</v>
      </c>
      <c r="Q50" s="25">
        <v>6098.39</v>
      </c>
      <c r="R50" s="25">
        <v>4633.6899999999996</v>
      </c>
      <c r="S50" s="25">
        <v>4693.2299999999996</v>
      </c>
    </row>
    <row r="51" spans="1:19" x14ac:dyDescent="0.2">
      <c r="A51" s="27">
        <v>31</v>
      </c>
      <c r="B51" s="6" t="s">
        <v>38</v>
      </c>
      <c r="C51" s="6">
        <v>11</v>
      </c>
      <c r="D51" s="6">
        <v>0</v>
      </c>
      <c r="E51" s="6">
        <v>443</v>
      </c>
      <c r="F51" s="29">
        <f t="shared" si="2"/>
        <v>454</v>
      </c>
      <c r="H51" s="7">
        <v>80.33</v>
      </c>
      <c r="I51" s="7">
        <v>0</v>
      </c>
      <c r="J51" s="7">
        <v>77.95</v>
      </c>
      <c r="K51" s="7">
        <v>78.010000000000005</v>
      </c>
      <c r="M51" s="7">
        <v>666.64856000000009</v>
      </c>
      <c r="N51" s="7">
        <v>388.83913999999999</v>
      </c>
      <c r="O51" s="7">
        <v>395.3673</v>
      </c>
      <c r="Q51" s="25">
        <v>6469.82</v>
      </c>
      <c r="R51" s="25">
        <v>5061.22</v>
      </c>
      <c r="S51" s="25">
        <v>5094.32</v>
      </c>
    </row>
    <row r="52" spans="1:19" x14ac:dyDescent="0.2">
      <c r="A52" s="27">
        <v>32</v>
      </c>
      <c r="B52" s="6" t="s">
        <v>39</v>
      </c>
      <c r="C52" s="6">
        <v>7</v>
      </c>
      <c r="D52" s="6">
        <v>0</v>
      </c>
      <c r="E52" s="6">
        <v>300</v>
      </c>
      <c r="F52" s="29">
        <f t="shared" si="2"/>
        <v>307</v>
      </c>
      <c r="H52" s="7">
        <v>96.29</v>
      </c>
      <c r="I52" s="7">
        <v>0</v>
      </c>
      <c r="J52" s="7">
        <v>75.28</v>
      </c>
      <c r="K52" s="7">
        <v>75.8</v>
      </c>
      <c r="M52" s="7">
        <v>615.31429000000003</v>
      </c>
      <c r="N52" s="7">
        <v>358.61142999999998</v>
      </c>
      <c r="O52" s="7">
        <v>364.98349000000002</v>
      </c>
      <c r="Q52" s="25">
        <v>6519.91</v>
      </c>
      <c r="R52" s="25">
        <v>4852.28</v>
      </c>
      <c r="S52" s="25">
        <v>4893.68</v>
      </c>
    </row>
    <row r="53" spans="1:19" x14ac:dyDescent="0.2">
      <c r="A53" s="27">
        <v>33</v>
      </c>
      <c r="B53" s="6" t="s">
        <v>40</v>
      </c>
      <c r="C53" s="6">
        <v>7</v>
      </c>
      <c r="D53" s="6">
        <v>0</v>
      </c>
      <c r="E53" s="6">
        <v>160</v>
      </c>
      <c r="F53" s="29">
        <f t="shared" si="2"/>
        <v>167</v>
      </c>
      <c r="H53" s="7">
        <v>56.5</v>
      </c>
      <c r="I53" s="7">
        <v>0</v>
      </c>
      <c r="J53" s="7">
        <v>70.63</v>
      </c>
      <c r="K53" s="7">
        <v>70.05</v>
      </c>
      <c r="M53" s="7">
        <v>223.66667000000001</v>
      </c>
      <c r="N53" s="7">
        <v>292.39934999999997</v>
      </c>
      <c r="O53" s="7">
        <v>289.53548999999998</v>
      </c>
      <c r="Q53" s="25">
        <v>3976.21</v>
      </c>
      <c r="R53" s="25">
        <v>4249.79</v>
      </c>
      <c r="S53" s="25">
        <v>4238.3900000000003</v>
      </c>
    </row>
    <row r="54" spans="1:19" x14ac:dyDescent="0.2">
      <c r="A54" s="27">
        <v>34</v>
      </c>
      <c r="B54" s="6" t="s">
        <v>41</v>
      </c>
      <c r="C54" s="6">
        <v>0</v>
      </c>
      <c r="D54" s="6">
        <v>0</v>
      </c>
      <c r="E54" s="6">
        <v>77</v>
      </c>
      <c r="F54" s="29">
        <f t="shared" si="2"/>
        <v>77</v>
      </c>
      <c r="H54" s="7">
        <v>0</v>
      </c>
      <c r="I54" s="7">
        <v>0</v>
      </c>
      <c r="J54" s="7">
        <v>60.47</v>
      </c>
      <c r="K54" s="7">
        <v>60.47</v>
      </c>
      <c r="M54" s="7">
        <v>0</v>
      </c>
      <c r="N54" s="7">
        <v>193.77017000000001</v>
      </c>
      <c r="O54" s="7">
        <v>193.77017000000001</v>
      </c>
      <c r="Q54" s="25">
        <v>0</v>
      </c>
      <c r="R54" s="25">
        <v>3203.62</v>
      </c>
      <c r="S54" s="25">
        <v>3203.62</v>
      </c>
    </row>
    <row r="55" spans="1:19" x14ac:dyDescent="0.2">
      <c r="A55" s="27">
        <v>35</v>
      </c>
      <c r="B55" s="6" t="s">
        <v>42</v>
      </c>
      <c r="C55" s="6">
        <v>61</v>
      </c>
      <c r="D55" s="6">
        <v>0</v>
      </c>
      <c r="E55" s="6">
        <v>287</v>
      </c>
      <c r="F55" s="29">
        <f t="shared" si="2"/>
        <v>348</v>
      </c>
      <c r="H55" s="7">
        <v>79.25</v>
      </c>
      <c r="I55" s="7">
        <v>0</v>
      </c>
      <c r="J55" s="7">
        <v>71.98</v>
      </c>
      <c r="K55" s="7">
        <v>73.319999999999993</v>
      </c>
      <c r="M55" s="7">
        <v>421.33075000000002</v>
      </c>
      <c r="N55" s="7">
        <v>270.96764000000002</v>
      </c>
      <c r="O55" s="7">
        <v>298.94216999999998</v>
      </c>
      <c r="Q55" s="25">
        <v>5387.41</v>
      </c>
      <c r="R55" s="25">
        <v>3845.73</v>
      </c>
      <c r="S55" s="25">
        <v>4132.55</v>
      </c>
    </row>
    <row r="56" spans="1:19" x14ac:dyDescent="0.2">
      <c r="A56" s="27">
        <v>36</v>
      </c>
      <c r="B56" s="6" t="s">
        <v>43</v>
      </c>
      <c r="C56" s="6">
        <v>24</v>
      </c>
      <c r="D56" s="6">
        <v>0</v>
      </c>
      <c r="E56" s="6">
        <v>81</v>
      </c>
      <c r="F56" s="29">
        <f t="shared" si="2"/>
        <v>105</v>
      </c>
      <c r="H56" s="7">
        <v>74.58</v>
      </c>
      <c r="I56" s="7">
        <v>0</v>
      </c>
      <c r="J56" s="7">
        <v>80.459999999999994</v>
      </c>
      <c r="K56" s="7">
        <v>78.97</v>
      </c>
      <c r="M56" s="7">
        <v>442.03896000000003</v>
      </c>
      <c r="N56" s="7">
        <v>300.93362000000002</v>
      </c>
      <c r="O56" s="7">
        <v>336.96052000000003</v>
      </c>
      <c r="Q56" s="25">
        <v>6227.65</v>
      </c>
      <c r="R56" s="25">
        <v>3954.5</v>
      </c>
      <c r="S56" s="25">
        <v>4534.88</v>
      </c>
    </row>
    <row r="57" spans="1:19" x14ac:dyDescent="0.2">
      <c r="A57" s="27">
        <v>37</v>
      </c>
      <c r="B57" s="6" t="s">
        <v>44</v>
      </c>
      <c r="C57" s="6">
        <v>82</v>
      </c>
      <c r="D57" s="6">
        <v>6</v>
      </c>
      <c r="E57" s="6">
        <v>243</v>
      </c>
      <c r="F57" s="29">
        <f t="shared" si="2"/>
        <v>331</v>
      </c>
      <c r="H57" s="7">
        <v>64.22</v>
      </c>
      <c r="I57" s="7">
        <v>76</v>
      </c>
      <c r="J57" s="7">
        <v>62.02</v>
      </c>
      <c r="K57" s="7">
        <v>62.82</v>
      </c>
      <c r="M57" s="7">
        <v>166.8296</v>
      </c>
      <c r="N57" s="7">
        <v>166.62925000000001</v>
      </c>
      <c r="O57" s="7">
        <v>166.68276999999998</v>
      </c>
      <c r="Q57" s="25">
        <v>2701.03</v>
      </c>
      <c r="R57" s="25">
        <v>2792.95</v>
      </c>
      <c r="S57" s="25">
        <v>2768.4</v>
      </c>
    </row>
    <row r="58" spans="1:19" x14ac:dyDescent="0.2">
      <c r="A58" s="27">
        <v>38</v>
      </c>
      <c r="B58" s="6" t="s">
        <v>45</v>
      </c>
      <c r="C58" s="6">
        <v>64</v>
      </c>
      <c r="D58" s="6">
        <v>1</v>
      </c>
      <c r="E58" s="6">
        <v>91</v>
      </c>
      <c r="F58" s="29">
        <f t="shared" si="2"/>
        <v>156</v>
      </c>
      <c r="H58" s="7">
        <v>55.84</v>
      </c>
      <c r="I58" s="7">
        <v>44</v>
      </c>
      <c r="J58" s="7">
        <v>63.33</v>
      </c>
      <c r="K58" s="7">
        <v>60.13</v>
      </c>
      <c r="M58" s="7">
        <v>146.56897000000001</v>
      </c>
      <c r="N58" s="7">
        <v>189.58629999999999</v>
      </c>
      <c r="O58" s="7">
        <v>171.50654999999998</v>
      </c>
      <c r="Q58" s="25">
        <v>2585.21</v>
      </c>
      <c r="R58" s="25">
        <v>3050.42</v>
      </c>
      <c r="S58" s="25">
        <v>2854.9</v>
      </c>
    </row>
    <row r="59" spans="1:19" x14ac:dyDescent="0.2">
      <c r="A59" s="27">
        <v>39</v>
      </c>
      <c r="B59" s="6" t="s">
        <v>46</v>
      </c>
      <c r="C59" s="6">
        <v>35</v>
      </c>
      <c r="D59" s="6">
        <v>1</v>
      </c>
      <c r="E59" s="6">
        <v>28</v>
      </c>
      <c r="F59" s="29">
        <f t="shared" si="2"/>
        <v>64</v>
      </c>
      <c r="H59" s="7">
        <v>71</v>
      </c>
      <c r="I59" s="7">
        <v>67</v>
      </c>
      <c r="J59" s="7">
        <v>79.63</v>
      </c>
      <c r="K59" s="7">
        <v>75.239999999999995</v>
      </c>
      <c r="M59" s="7">
        <v>247.89615000000001</v>
      </c>
      <c r="N59" s="7">
        <v>262.62963000000002</v>
      </c>
      <c r="O59" s="7">
        <v>255.40189000000001</v>
      </c>
      <c r="Q59" s="25">
        <v>3487.86</v>
      </c>
      <c r="R59" s="25">
        <v>3271.66</v>
      </c>
      <c r="S59" s="25">
        <v>3377.72</v>
      </c>
    </row>
    <row r="60" spans="1:19" x14ac:dyDescent="0.2">
      <c r="A60" s="27">
        <v>40</v>
      </c>
      <c r="B60" s="6" t="s">
        <v>47</v>
      </c>
      <c r="C60" s="6">
        <v>11</v>
      </c>
      <c r="D60" s="6">
        <v>1</v>
      </c>
      <c r="E60" s="6">
        <v>32</v>
      </c>
      <c r="F60" s="29">
        <f t="shared" si="2"/>
        <v>44</v>
      </c>
      <c r="H60" s="7">
        <v>62.33</v>
      </c>
      <c r="I60" s="7">
        <v>0</v>
      </c>
      <c r="J60" s="7">
        <v>62.97</v>
      </c>
      <c r="K60" s="7">
        <v>62.82</v>
      </c>
      <c r="M60" s="7">
        <v>184.33332999999999</v>
      </c>
      <c r="N60" s="7">
        <v>186.30804000000001</v>
      </c>
      <c r="O60" s="7">
        <v>185.82771</v>
      </c>
      <c r="Q60" s="25">
        <v>3013.15</v>
      </c>
      <c r="R60" s="25">
        <v>3001.8</v>
      </c>
      <c r="S60" s="25">
        <v>3004.56</v>
      </c>
    </row>
    <row r="61" spans="1:19" x14ac:dyDescent="0.2">
      <c r="A61" s="27">
        <v>41</v>
      </c>
      <c r="B61" s="6" t="s">
        <v>48</v>
      </c>
      <c r="C61" s="6">
        <v>6</v>
      </c>
      <c r="D61" s="6">
        <v>0</v>
      </c>
      <c r="E61" s="6">
        <v>24</v>
      </c>
      <c r="F61" s="29">
        <f t="shared" si="2"/>
        <v>30</v>
      </c>
      <c r="H61" s="7">
        <v>55</v>
      </c>
      <c r="I61" s="7">
        <v>0</v>
      </c>
      <c r="J61" s="7">
        <v>62.32</v>
      </c>
      <c r="K61" s="7">
        <v>60.96</v>
      </c>
      <c r="M61" s="7">
        <v>206.02583999999999</v>
      </c>
      <c r="N61" s="7">
        <v>246.42857000000001</v>
      </c>
      <c r="O61" s="7">
        <v>238.65880999999999</v>
      </c>
      <c r="Q61" s="25">
        <v>3959.28</v>
      </c>
      <c r="R61" s="25">
        <v>4072.66</v>
      </c>
      <c r="S61" s="25">
        <v>4050.86</v>
      </c>
    </row>
    <row r="62" spans="1:19" x14ac:dyDescent="0.2">
      <c r="A62" s="27">
        <v>42</v>
      </c>
      <c r="B62" s="6" t="s">
        <v>49</v>
      </c>
      <c r="C62" s="6">
        <v>87</v>
      </c>
      <c r="D62" s="6">
        <v>1</v>
      </c>
      <c r="E62" s="6">
        <v>2</v>
      </c>
      <c r="F62" s="29">
        <f t="shared" si="2"/>
        <v>90</v>
      </c>
      <c r="H62" s="7">
        <v>89.47</v>
      </c>
      <c r="I62" s="7">
        <v>0</v>
      </c>
      <c r="J62" s="7">
        <v>81</v>
      </c>
      <c r="K62" s="7">
        <v>89.28</v>
      </c>
      <c r="M62" s="7">
        <v>371.81313</v>
      </c>
      <c r="N62" s="7">
        <v>0</v>
      </c>
      <c r="O62" s="7">
        <v>370.24771000000004</v>
      </c>
      <c r="Q62" s="25">
        <v>4083.94</v>
      </c>
      <c r="R62" s="25">
        <v>0</v>
      </c>
      <c r="S62" s="25">
        <v>4057.79</v>
      </c>
    </row>
    <row r="63" spans="1:19" x14ac:dyDescent="0.2">
      <c r="A63" s="27">
        <v>43</v>
      </c>
      <c r="B63" s="6" t="s">
        <v>50</v>
      </c>
      <c r="C63" s="6">
        <v>51</v>
      </c>
      <c r="D63" s="6">
        <v>20</v>
      </c>
      <c r="E63" s="6">
        <v>181</v>
      </c>
      <c r="F63" s="29">
        <f t="shared" si="2"/>
        <v>252</v>
      </c>
      <c r="H63" s="7">
        <v>88.15</v>
      </c>
      <c r="I63" s="7">
        <v>70</v>
      </c>
      <c r="J63" s="7">
        <v>68.290000000000006</v>
      </c>
      <c r="K63" s="7">
        <v>72.680000000000007</v>
      </c>
      <c r="M63" s="7">
        <v>397.37383</v>
      </c>
      <c r="N63" s="7">
        <v>255.48714000000001</v>
      </c>
      <c r="O63" s="7">
        <v>295.90334999999999</v>
      </c>
      <c r="Q63" s="25">
        <v>4570.1000000000004</v>
      </c>
      <c r="R63" s="25">
        <v>3736.7</v>
      </c>
      <c r="S63" s="25">
        <v>3974.09</v>
      </c>
    </row>
    <row r="64" spans="1:19" x14ac:dyDescent="0.2">
      <c r="A64" s="27">
        <v>44</v>
      </c>
      <c r="B64" s="6" t="s">
        <v>51</v>
      </c>
      <c r="C64" s="6">
        <v>4</v>
      </c>
      <c r="D64" s="6">
        <v>0</v>
      </c>
      <c r="E64" s="6">
        <v>185</v>
      </c>
      <c r="F64" s="29">
        <f t="shared" si="2"/>
        <v>189</v>
      </c>
      <c r="H64" s="7">
        <v>69.5</v>
      </c>
      <c r="I64" s="7">
        <v>0</v>
      </c>
      <c r="J64" s="7">
        <v>71.739999999999995</v>
      </c>
      <c r="K64" s="7">
        <v>71.709999999999994</v>
      </c>
      <c r="M64" s="7">
        <v>459</v>
      </c>
      <c r="N64" s="7">
        <v>240.82214999999999</v>
      </c>
      <c r="O64" s="7">
        <v>243.69291000000001</v>
      </c>
      <c r="Q64" s="25">
        <v>7168.99</v>
      </c>
      <c r="R64" s="25">
        <v>3435.75</v>
      </c>
      <c r="S64" s="25">
        <v>3484.87</v>
      </c>
    </row>
    <row r="65" spans="1:19" x14ac:dyDescent="0.2">
      <c r="A65" s="27">
        <v>45</v>
      </c>
      <c r="B65" s="6" t="s">
        <v>52</v>
      </c>
      <c r="C65" s="6">
        <v>3</v>
      </c>
      <c r="D65" s="6">
        <v>0</v>
      </c>
      <c r="E65" s="6">
        <v>188</v>
      </c>
      <c r="F65" s="29">
        <f t="shared" si="2"/>
        <v>191</v>
      </c>
      <c r="H65" s="7">
        <v>65.33</v>
      </c>
      <c r="I65" s="7">
        <v>0</v>
      </c>
      <c r="J65" s="7">
        <v>65.52</v>
      </c>
      <c r="K65" s="7">
        <v>65.52</v>
      </c>
      <c r="M65" s="7">
        <v>112.33333</v>
      </c>
      <c r="N65" s="7">
        <v>204.93765999999999</v>
      </c>
      <c r="O65" s="7">
        <v>202.81695000000002</v>
      </c>
      <c r="Q65" s="25">
        <v>1721.21</v>
      </c>
      <c r="R65" s="25">
        <v>3134.06</v>
      </c>
      <c r="S65" s="25">
        <v>3101.7</v>
      </c>
    </row>
    <row r="66" spans="1:19" x14ac:dyDescent="0.2">
      <c r="A66" s="27">
        <v>46</v>
      </c>
      <c r="B66" s="6" t="s">
        <v>53</v>
      </c>
      <c r="C66" s="6">
        <v>2</v>
      </c>
      <c r="D66" s="6">
        <v>0</v>
      </c>
      <c r="E66" s="6">
        <v>170</v>
      </c>
      <c r="F66" s="29">
        <f t="shared" si="2"/>
        <v>172</v>
      </c>
      <c r="H66" s="7">
        <v>61.5</v>
      </c>
      <c r="I66" s="7">
        <v>0</v>
      </c>
      <c r="J66" s="7">
        <v>62.71</v>
      </c>
      <c r="K66" s="7">
        <v>62.69</v>
      </c>
      <c r="M66" s="7">
        <v>0</v>
      </c>
      <c r="N66" s="7">
        <v>159.96823999999998</v>
      </c>
      <c r="O66" s="7">
        <v>161.01597000000001</v>
      </c>
      <c r="Q66" s="25">
        <v>0</v>
      </c>
      <c r="R66" s="25">
        <v>2563.04</v>
      </c>
      <c r="S66" s="25">
        <v>2587.29</v>
      </c>
    </row>
    <row r="67" spans="1:19" x14ac:dyDescent="0.2">
      <c r="A67" s="27">
        <v>47</v>
      </c>
      <c r="B67" s="6" t="s">
        <v>54</v>
      </c>
      <c r="C67" s="6">
        <v>0</v>
      </c>
      <c r="D67" s="6">
        <v>0</v>
      </c>
      <c r="E67" s="6">
        <v>4</v>
      </c>
      <c r="F67" s="29">
        <f t="shared" si="2"/>
        <v>4</v>
      </c>
      <c r="H67" s="7">
        <v>0</v>
      </c>
      <c r="I67" s="7">
        <v>0</v>
      </c>
      <c r="J67" s="7">
        <v>70</v>
      </c>
      <c r="K67" s="7">
        <v>70</v>
      </c>
      <c r="M67" s="7">
        <v>0</v>
      </c>
      <c r="N67" s="7">
        <v>145</v>
      </c>
      <c r="O67" s="7">
        <v>145</v>
      </c>
      <c r="Q67" s="25">
        <v>0</v>
      </c>
      <c r="R67" s="25">
        <v>2080.42</v>
      </c>
      <c r="S67" s="25">
        <v>2080.42</v>
      </c>
    </row>
    <row r="68" spans="1:19" x14ac:dyDescent="0.2">
      <c r="A68" s="27">
        <v>48</v>
      </c>
      <c r="B68" s="6" t="s">
        <v>55</v>
      </c>
      <c r="C68" s="6">
        <v>0</v>
      </c>
      <c r="D68" s="6">
        <v>0</v>
      </c>
      <c r="E68" s="6">
        <v>93</v>
      </c>
      <c r="F68" s="29">
        <f t="shared" si="2"/>
        <v>93</v>
      </c>
      <c r="H68" s="7">
        <v>0</v>
      </c>
      <c r="I68" s="7">
        <v>0</v>
      </c>
      <c r="J68" s="7">
        <v>72.930000000000007</v>
      </c>
      <c r="K68" s="7">
        <v>72.930000000000007</v>
      </c>
      <c r="M68" s="7">
        <v>0</v>
      </c>
      <c r="N68" s="7">
        <v>210.26301999999998</v>
      </c>
      <c r="O68" s="7">
        <v>210.26301999999998</v>
      </c>
      <c r="Q68" s="25">
        <v>0</v>
      </c>
      <c r="R68" s="25">
        <v>2918.31</v>
      </c>
      <c r="S68" s="25">
        <v>2918.31</v>
      </c>
    </row>
    <row r="69" spans="1:19" x14ac:dyDescent="0.2">
      <c r="A69" s="27">
        <v>49</v>
      </c>
      <c r="B69" s="6" t="s">
        <v>56</v>
      </c>
      <c r="C69" s="6">
        <v>0</v>
      </c>
      <c r="D69" s="6">
        <v>0</v>
      </c>
      <c r="E69" s="6">
        <v>29</v>
      </c>
      <c r="F69" s="29">
        <f t="shared" si="2"/>
        <v>29</v>
      </c>
      <c r="H69" s="7">
        <v>0</v>
      </c>
      <c r="I69" s="7">
        <v>0</v>
      </c>
      <c r="J69" s="7">
        <v>68.09</v>
      </c>
      <c r="K69" s="7">
        <v>68.09</v>
      </c>
      <c r="M69" s="7">
        <v>0</v>
      </c>
      <c r="N69" s="7">
        <v>188.75700000000001</v>
      </c>
      <c r="O69" s="7">
        <v>188.75700000000001</v>
      </c>
      <c r="Q69" s="25">
        <v>0</v>
      </c>
      <c r="R69" s="25">
        <v>2856.95</v>
      </c>
      <c r="S69" s="25">
        <v>2856.95</v>
      </c>
    </row>
    <row r="70" spans="1:19" x14ac:dyDescent="0.2">
      <c r="A70" s="27">
        <v>50</v>
      </c>
      <c r="B70" s="6" t="s">
        <v>57</v>
      </c>
      <c r="C70" s="6">
        <v>0</v>
      </c>
      <c r="D70" s="6">
        <v>0</v>
      </c>
      <c r="E70" s="6">
        <v>167</v>
      </c>
      <c r="F70" s="29">
        <f t="shared" si="2"/>
        <v>167</v>
      </c>
      <c r="H70" s="7">
        <v>0</v>
      </c>
      <c r="I70" s="7">
        <v>0</v>
      </c>
      <c r="J70" s="7">
        <v>60.17</v>
      </c>
      <c r="K70" s="7">
        <v>60.17</v>
      </c>
      <c r="M70" s="7">
        <v>0</v>
      </c>
      <c r="N70" s="7">
        <v>134.31289000000001</v>
      </c>
      <c r="O70" s="7">
        <v>134.31289000000001</v>
      </c>
      <c r="Q70" s="25">
        <v>0</v>
      </c>
      <c r="R70" s="25">
        <v>2302.46</v>
      </c>
      <c r="S70" s="25">
        <v>2302.46</v>
      </c>
    </row>
    <row r="71" spans="1:19" x14ac:dyDescent="0.2">
      <c r="A71" s="27">
        <v>51</v>
      </c>
      <c r="B71" s="6" t="s">
        <v>58</v>
      </c>
      <c r="C71" s="6">
        <v>1</v>
      </c>
      <c r="D71" s="6">
        <v>0</v>
      </c>
      <c r="E71" s="6">
        <v>137</v>
      </c>
      <c r="F71" s="29">
        <f t="shared" si="2"/>
        <v>138</v>
      </c>
      <c r="H71" s="7">
        <v>66</v>
      </c>
      <c r="I71" s="7">
        <v>0</v>
      </c>
      <c r="J71" s="7">
        <v>58.1</v>
      </c>
      <c r="K71" s="7">
        <v>58.16</v>
      </c>
      <c r="M71" s="7">
        <v>0</v>
      </c>
      <c r="N71" s="7">
        <v>155.60290000000001</v>
      </c>
      <c r="O71" s="7">
        <v>156.07861</v>
      </c>
      <c r="Q71" s="25">
        <v>0</v>
      </c>
      <c r="R71" s="25">
        <v>2789.12</v>
      </c>
      <c r="S71" s="25">
        <v>2789.79</v>
      </c>
    </row>
    <row r="72" spans="1:19" x14ac:dyDescent="0.2">
      <c r="A72" s="27">
        <v>52</v>
      </c>
      <c r="B72" s="6" t="s">
        <v>59</v>
      </c>
      <c r="C72" s="6">
        <v>7</v>
      </c>
      <c r="D72" s="6">
        <v>0</v>
      </c>
      <c r="E72" s="6">
        <v>270</v>
      </c>
      <c r="F72" s="29">
        <f t="shared" si="2"/>
        <v>277</v>
      </c>
      <c r="H72" s="7">
        <v>82</v>
      </c>
      <c r="I72" s="7">
        <v>0</v>
      </c>
      <c r="J72" s="7">
        <v>60.09</v>
      </c>
      <c r="K72" s="7">
        <v>60.46</v>
      </c>
      <c r="M72" s="7">
        <v>231.25</v>
      </c>
      <c r="N72" s="7">
        <v>167.00104000000002</v>
      </c>
      <c r="O72" s="7">
        <v>168.23069000000001</v>
      </c>
      <c r="Q72" s="25">
        <v>3376.43</v>
      </c>
      <c r="R72" s="25">
        <v>2824.91</v>
      </c>
      <c r="S72" s="25">
        <v>2835.47</v>
      </c>
    </row>
    <row r="73" spans="1:19" x14ac:dyDescent="0.2">
      <c r="A73" s="27">
        <v>53</v>
      </c>
      <c r="B73" s="6" t="s">
        <v>60</v>
      </c>
      <c r="C73" s="6">
        <v>0</v>
      </c>
      <c r="D73" s="6">
        <v>0</v>
      </c>
      <c r="E73" s="6">
        <v>99</v>
      </c>
      <c r="F73" s="29">
        <f t="shared" si="2"/>
        <v>99</v>
      </c>
      <c r="H73" s="7">
        <v>0</v>
      </c>
      <c r="I73" s="7">
        <v>0</v>
      </c>
      <c r="J73" s="7">
        <v>61.96</v>
      </c>
      <c r="K73" s="7">
        <v>61.96</v>
      </c>
      <c r="M73" s="7">
        <v>0</v>
      </c>
      <c r="N73" s="7">
        <v>130.97812999999999</v>
      </c>
      <c r="O73" s="7">
        <v>130.97812999999999</v>
      </c>
      <c r="Q73" s="25">
        <v>0</v>
      </c>
      <c r="R73" s="25">
        <v>2219.06</v>
      </c>
      <c r="S73" s="25">
        <v>2219.06</v>
      </c>
    </row>
    <row r="74" spans="1:19" x14ac:dyDescent="0.2">
      <c r="A74" s="27">
        <v>54</v>
      </c>
      <c r="B74" s="6" t="s">
        <v>61</v>
      </c>
      <c r="C74" s="6">
        <v>0</v>
      </c>
      <c r="D74" s="6">
        <v>0</v>
      </c>
      <c r="E74" s="6">
        <v>12</v>
      </c>
      <c r="F74" s="29">
        <f t="shared" si="2"/>
        <v>12</v>
      </c>
      <c r="H74" s="7">
        <v>0</v>
      </c>
      <c r="I74" s="7">
        <v>0</v>
      </c>
      <c r="J74" s="7">
        <v>94.5</v>
      </c>
      <c r="K74" s="7">
        <v>94.5</v>
      </c>
      <c r="M74" s="7">
        <v>0</v>
      </c>
      <c r="N74" s="7">
        <v>147.91667000000001</v>
      </c>
      <c r="O74" s="7">
        <v>147.91667000000001</v>
      </c>
      <c r="Q74" s="25">
        <v>0</v>
      </c>
      <c r="R74" s="25">
        <v>1582.42</v>
      </c>
      <c r="S74" s="25">
        <v>1582.42</v>
      </c>
    </row>
    <row r="75" spans="1:19" x14ac:dyDescent="0.2">
      <c r="A75" s="27">
        <v>55</v>
      </c>
      <c r="B75" s="6" t="s">
        <v>62</v>
      </c>
      <c r="C75" s="6">
        <v>0</v>
      </c>
      <c r="D75" s="6">
        <v>0</v>
      </c>
      <c r="E75" s="6">
        <v>158</v>
      </c>
      <c r="F75" s="29">
        <f t="shared" si="2"/>
        <v>158</v>
      </c>
      <c r="H75" s="7">
        <v>0</v>
      </c>
      <c r="I75" s="7">
        <v>0</v>
      </c>
      <c r="J75" s="7">
        <v>59.19</v>
      </c>
      <c r="K75" s="7">
        <v>59.19</v>
      </c>
      <c r="M75" s="7">
        <v>0</v>
      </c>
      <c r="N75" s="7">
        <v>113.11681</v>
      </c>
      <c r="O75" s="7">
        <v>113.11681</v>
      </c>
      <c r="Q75" s="25">
        <v>0</v>
      </c>
      <c r="R75" s="25">
        <v>1906.73</v>
      </c>
      <c r="S75" s="25">
        <v>1906.73</v>
      </c>
    </row>
    <row r="76" spans="1:19" x14ac:dyDescent="0.2">
      <c r="A76" s="27">
        <v>56</v>
      </c>
      <c r="B76" s="6" t="s">
        <v>80</v>
      </c>
      <c r="C76" s="6">
        <v>0</v>
      </c>
      <c r="D76" s="6">
        <v>0</v>
      </c>
      <c r="E76" s="6">
        <v>2</v>
      </c>
      <c r="F76" s="29">
        <f t="shared" si="2"/>
        <v>2</v>
      </c>
      <c r="H76" s="7">
        <v>0</v>
      </c>
      <c r="I76" s="7">
        <v>0</v>
      </c>
      <c r="J76" s="7">
        <v>76.5</v>
      </c>
      <c r="K76" s="7">
        <v>76.5</v>
      </c>
      <c r="M76" s="7">
        <v>0</v>
      </c>
      <c r="N76" s="7">
        <v>0</v>
      </c>
      <c r="O76" s="7">
        <v>0</v>
      </c>
      <c r="Q76" s="25">
        <v>0</v>
      </c>
      <c r="R76" s="25">
        <v>0</v>
      </c>
      <c r="S76" s="25">
        <v>0</v>
      </c>
    </row>
    <row r="77" spans="1:19" x14ac:dyDescent="0.2">
      <c r="A77" s="27">
        <v>57</v>
      </c>
      <c r="B77" s="6" t="s">
        <v>63</v>
      </c>
      <c r="C77" s="6">
        <v>13</v>
      </c>
      <c r="D77" s="6">
        <v>0</v>
      </c>
      <c r="E77" s="6">
        <v>145</v>
      </c>
      <c r="F77" s="29">
        <f t="shared" si="2"/>
        <v>158</v>
      </c>
      <c r="H77" s="7">
        <v>61.25</v>
      </c>
      <c r="I77" s="7">
        <v>0</v>
      </c>
      <c r="J77" s="7">
        <v>60.42</v>
      </c>
      <c r="K77" s="7">
        <v>60.49</v>
      </c>
      <c r="M77" s="7">
        <v>233.54820999999998</v>
      </c>
      <c r="N77" s="7">
        <v>118.05865</v>
      </c>
      <c r="O77" s="7">
        <v>131.78018</v>
      </c>
      <c r="Q77" s="25">
        <v>3902.36</v>
      </c>
      <c r="R77" s="25">
        <v>2047.42</v>
      </c>
      <c r="S77" s="25">
        <v>2267.81</v>
      </c>
    </row>
    <row r="78" spans="1:19" x14ac:dyDescent="0.2">
      <c r="A78" s="27">
        <v>58</v>
      </c>
      <c r="B78" s="6" t="s">
        <v>64</v>
      </c>
      <c r="C78" s="6">
        <v>0</v>
      </c>
      <c r="D78" s="6">
        <v>0</v>
      </c>
      <c r="E78" s="6">
        <v>29</v>
      </c>
      <c r="F78" s="29">
        <f t="shared" si="2"/>
        <v>29</v>
      </c>
      <c r="H78" s="7">
        <v>0</v>
      </c>
      <c r="I78" s="7">
        <v>0</v>
      </c>
      <c r="J78" s="7">
        <v>70.63</v>
      </c>
      <c r="K78" s="7">
        <v>70.63</v>
      </c>
      <c r="M78" s="7">
        <v>0</v>
      </c>
      <c r="N78" s="7">
        <v>0</v>
      </c>
      <c r="O78" s="7">
        <v>0</v>
      </c>
      <c r="Q78" s="25">
        <v>0</v>
      </c>
      <c r="R78" s="25">
        <v>0</v>
      </c>
      <c r="S78" s="25">
        <v>0</v>
      </c>
    </row>
    <row r="79" spans="1:19" x14ac:dyDescent="0.2">
      <c r="A79" s="27">
        <v>59</v>
      </c>
      <c r="B79" s="6" t="s">
        <v>65</v>
      </c>
      <c r="C79" s="6">
        <v>11</v>
      </c>
      <c r="D79" s="6">
        <v>7</v>
      </c>
      <c r="E79" s="6">
        <v>106</v>
      </c>
      <c r="F79" s="29">
        <f t="shared" si="2"/>
        <v>124</v>
      </c>
      <c r="H79" s="7">
        <v>81.900000000000006</v>
      </c>
      <c r="I79" s="7">
        <v>78</v>
      </c>
      <c r="J79" s="7">
        <v>67.69</v>
      </c>
      <c r="K79" s="7">
        <v>69.52</v>
      </c>
      <c r="M79" s="7">
        <v>151.05376000000001</v>
      </c>
      <c r="N79" s="7">
        <v>165.93625</v>
      </c>
      <c r="O79" s="7">
        <v>164.54535999999999</v>
      </c>
      <c r="Q79" s="25">
        <v>1804.12</v>
      </c>
      <c r="R79" s="25">
        <v>2428.2600000000002</v>
      </c>
      <c r="S79" s="25">
        <v>2369.9299999999998</v>
      </c>
    </row>
    <row r="80" spans="1:19" x14ac:dyDescent="0.2">
      <c r="A80" s="27">
        <v>60</v>
      </c>
      <c r="B80" s="6" t="s">
        <v>66</v>
      </c>
      <c r="C80" s="6">
        <v>16</v>
      </c>
      <c r="D80" s="6">
        <v>0</v>
      </c>
      <c r="E80" s="6">
        <v>369</v>
      </c>
      <c r="F80" s="29">
        <f t="shared" si="2"/>
        <v>385</v>
      </c>
      <c r="H80" s="7">
        <v>87.69</v>
      </c>
      <c r="I80" s="7">
        <v>0</v>
      </c>
      <c r="J80" s="7">
        <v>74.53</v>
      </c>
      <c r="K80" s="7">
        <v>75.11</v>
      </c>
      <c r="M80" s="7">
        <v>431.78131000000002</v>
      </c>
      <c r="N80" s="7">
        <v>274.10487000000001</v>
      </c>
      <c r="O80" s="7">
        <v>283.17977000000002</v>
      </c>
      <c r="Q80" s="25">
        <v>4990.95</v>
      </c>
      <c r="R80" s="25">
        <v>3697.29</v>
      </c>
      <c r="S80" s="25">
        <v>3771.75</v>
      </c>
    </row>
    <row r="81" spans="1:19" x14ac:dyDescent="0.2">
      <c r="A81" s="27">
        <v>61</v>
      </c>
      <c r="B81" s="6" t="s">
        <v>67</v>
      </c>
      <c r="C81" s="6">
        <v>0</v>
      </c>
      <c r="D81" s="6">
        <v>0</v>
      </c>
      <c r="E81" s="6">
        <v>204</v>
      </c>
      <c r="F81" s="29">
        <f t="shared" si="2"/>
        <v>204</v>
      </c>
      <c r="H81" s="7">
        <v>0</v>
      </c>
      <c r="I81" s="7">
        <v>0</v>
      </c>
      <c r="J81" s="7">
        <v>69.959999999999994</v>
      </c>
      <c r="K81" s="7">
        <v>69.959999999999994</v>
      </c>
      <c r="M81" s="7">
        <v>0</v>
      </c>
      <c r="N81" s="7">
        <v>252.50332999999998</v>
      </c>
      <c r="O81" s="7">
        <v>252.50332999999998</v>
      </c>
      <c r="Q81" s="25">
        <v>0</v>
      </c>
      <c r="R81" s="25">
        <v>3682.89</v>
      </c>
      <c r="S81" s="25">
        <v>3682.89</v>
      </c>
    </row>
    <row r="82" spans="1:19" x14ac:dyDescent="0.2">
      <c r="A82" s="27">
        <v>62</v>
      </c>
      <c r="B82" s="6" t="s">
        <v>68</v>
      </c>
      <c r="C82" s="6">
        <v>7</v>
      </c>
      <c r="D82" s="6">
        <v>0</v>
      </c>
      <c r="E82" s="6">
        <v>115</v>
      </c>
      <c r="F82" s="29">
        <f t="shared" si="2"/>
        <v>122</v>
      </c>
      <c r="H82" s="7">
        <v>112</v>
      </c>
      <c r="I82" s="7">
        <v>0</v>
      </c>
      <c r="J82" s="7">
        <v>72.56</v>
      </c>
      <c r="K82" s="7">
        <v>74.94</v>
      </c>
      <c r="M82" s="7">
        <v>418.78928999999999</v>
      </c>
      <c r="N82" s="7">
        <v>258.33319</v>
      </c>
      <c r="O82" s="7">
        <v>270.41053000000005</v>
      </c>
      <c r="Q82" s="25">
        <v>3843.28</v>
      </c>
      <c r="R82" s="25">
        <v>3591.1</v>
      </c>
      <c r="S82" s="25">
        <v>3610.08</v>
      </c>
    </row>
    <row r="83" spans="1:19" x14ac:dyDescent="0.2">
      <c r="A83" s="27">
        <v>63</v>
      </c>
      <c r="B83" s="1" t="s">
        <v>69</v>
      </c>
      <c r="C83" s="6">
        <v>3</v>
      </c>
      <c r="D83" s="6">
        <v>0</v>
      </c>
      <c r="E83" s="6">
        <v>202</v>
      </c>
      <c r="F83" s="29">
        <f t="shared" si="2"/>
        <v>205</v>
      </c>
      <c r="H83" s="7">
        <v>83</v>
      </c>
      <c r="I83" s="7">
        <v>0</v>
      </c>
      <c r="J83" s="7">
        <v>77.42</v>
      </c>
      <c r="K83" s="7">
        <v>77.48</v>
      </c>
      <c r="M83" s="7">
        <v>413</v>
      </c>
      <c r="N83" s="7">
        <v>314.78026</v>
      </c>
      <c r="O83" s="7">
        <v>316.01572999999996</v>
      </c>
      <c r="Q83" s="25">
        <v>4988.95</v>
      </c>
      <c r="R83" s="25">
        <v>4022.2</v>
      </c>
      <c r="S83" s="25">
        <v>4034.36</v>
      </c>
    </row>
    <row r="84" spans="1:19" x14ac:dyDescent="0.2">
      <c r="A84" s="27">
        <v>64</v>
      </c>
      <c r="B84" s="1" t="s">
        <v>70</v>
      </c>
      <c r="C84" s="6">
        <v>2</v>
      </c>
      <c r="D84" s="6">
        <v>0</v>
      </c>
      <c r="E84" s="6">
        <v>296</v>
      </c>
      <c r="F84" s="29">
        <f t="shared" si="2"/>
        <v>298</v>
      </c>
      <c r="H84" s="7">
        <v>62</v>
      </c>
      <c r="I84" s="7">
        <v>0</v>
      </c>
      <c r="J84" s="7">
        <v>73.11</v>
      </c>
      <c r="K84" s="7">
        <v>73.03</v>
      </c>
      <c r="M84" s="7">
        <v>0</v>
      </c>
      <c r="N84" s="7">
        <v>295.39201000000003</v>
      </c>
      <c r="O84" s="7">
        <v>295.59878999999995</v>
      </c>
      <c r="Q84" s="25">
        <v>0</v>
      </c>
      <c r="R84" s="25">
        <v>4128.59</v>
      </c>
      <c r="S84" s="25">
        <v>4136.29</v>
      </c>
    </row>
    <row r="85" spans="1:19" x14ac:dyDescent="0.2">
      <c r="A85" s="27">
        <v>65</v>
      </c>
      <c r="B85" s="1" t="s">
        <v>71</v>
      </c>
      <c r="C85" s="6">
        <v>12</v>
      </c>
      <c r="D85" s="6">
        <v>0</v>
      </c>
      <c r="E85" s="6">
        <v>191</v>
      </c>
      <c r="F85" s="29">
        <f t="shared" ref="F85:F93" si="3">SUM(C85:E85)</f>
        <v>203</v>
      </c>
      <c r="H85" s="7">
        <v>60</v>
      </c>
      <c r="I85" s="7">
        <v>0</v>
      </c>
      <c r="J85" s="7">
        <v>71.05</v>
      </c>
      <c r="K85" s="7">
        <v>70.33</v>
      </c>
      <c r="M85" s="7">
        <v>259.91667000000001</v>
      </c>
      <c r="N85" s="7">
        <v>282.19459000000001</v>
      </c>
      <c r="O85" s="7">
        <v>279.54771</v>
      </c>
      <c r="Q85" s="25">
        <v>4315.03</v>
      </c>
      <c r="R85" s="25">
        <v>4164.2700000000004</v>
      </c>
      <c r="S85" s="25">
        <v>4182.18</v>
      </c>
    </row>
    <row r="86" spans="1:19" x14ac:dyDescent="0.2">
      <c r="A86" s="27">
        <v>66</v>
      </c>
      <c r="B86" s="1" t="s">
        <v>72</v>
      </c>
      <c r="C86" s="6">
        <v>13</v>
      </c>
      <c r="D86" s="6">
        <v>2</v>
      </c>
      <c r="E86" s="6">
        <v>130</v>
      </c>
      <c r="F86" s="29">
        <f t="shared" si="3"/>
        <v>145</v>
      </c>
      <c r="H86" s="7">
        <v>102.73</v>
      </c>
      <c r="I86" s="7">
        <v>53</v>
      </c>
      <c r="J86" s="7">
        <v>74.66</v>
      </c>
      <c r="K86" s="7">
        <v>76.66</v>
      </c>
      <c r="M86" s="7">
        <v>664.6</v>
      </c>
      <c r="N86" s="7">
        <v>361.02512999999999</v>
      </c>
      <c r="O86" s="7">
        <v>387.31902000000002</v>
      </c>
      <c r="Q86" s="25">
        <v>6292.9</v>
      </c>
      <c r="R86" s="25">
        <v>4857.2299999999996</v>
      </c>
      <c r="S86" s="25">
        <v>4981.58</v>
      </c>
    </row>
    <row r="87" spans="1:19" x14ac:dyDescent="0.2">
      <c r="A87" s="27">
        <v>67</v>
      </c>
      <c r="B87" s="1" t="s">
        <v>73</v>
      </c>
      <c r="C87" s="6">
        <v>1</v>
      </c>
      <c r="D87" s="6">
        <v>0</v>
      </c>
      <c r="E87" s="6">
        <v>58</v>
      </c>
      <c r="F87" s="29">
        <f t="shared" si="3"/>
        <v>59</v>
      </c>
      <c r="H87" s="7">
        <v>85</v>
      </c>
      <c r="I87" s="7">
        <v>0</v>
      </c>
      <c r="J87" s="7">
        <v>100.47</v>
      </c>
      <c r="K87" s="7">
        <v>100.19</v>
      </c>
      <c r="M87" s="7">
        <v>0</v>
      </c>
      <c r="N87" s="7">
        <v>557.77418999999998</v>
      </c>
      <c r="O87" s="7">
        <v>549.95679000000007</v>
      </c>
      <c r="Q87" s="25">
        <v>0</v>
      </c>
      <c r="R87" s="25">
        <v>5656.96</v>
      </c>
      <c r="S87" s="25">
        <v>5581.15</v>
      </c>
    </row>
    <row r="88" spans="1:19" x14ac:dyDescent="0.2">
      <c r="A88" s="27">
        <v>68</v>
      </c>
      <c r="B88" s="1" t="s">
        <v>74</v>
      </c>
      <c r="C88" s="6">
        <v>66</v>
      </c>
      <c r="D88" s="6">
        <v>24</v>
      </c>
      <c r="E88" s="6">
        <v>286</v>
      </c>
      <c r="F88" s="29">
        <f t="shared" si="3"/>
        <v>376</v>
      </c>
      <c r="H88" s="7">
        <v>63.45</v>
      </c>
      <c r="I88" s="7">
        <v>57.5</v>
      </c>
      <c r="J88" s="7">
        <v>76.11</v>
      </c>
      <c r="K88" s="7">
        <v>72.75</v>
      </c>
      <c r="M88" s="7">
        <v>418.65323999999998</v>
      </c>
      <c r="N88" s="7">
        <v>381.70021999999994</v>
      </c>
      <c r="O88" s="7">
        <v>388.81540000000001</v>
      </c>
      <c r="Q88" s="25">
        <v>6607.79</v>
      </c>
      <c r="R88" s="25">
        <v>5069.78</v>
      </c>
      <c r="S88" s="25">
        <v>5365.92</v>
      </c>
    </row>
    <row r="89" spans="1:19" x14ac:dyDescent="0.2">
      <c r="A89" s="27">
        <v>69</v>
      </c>
      <c r="B89" s="1" t="s">
        <v>75</v>
      </c>
      <c r="C89" s="6">
        <v>61</v>
      </c>
      <c r="D89" s="6">
        <v>3</v>
      </c>
      <c r="E89" s="6">
        <v>126</v>
      </c>
      <c r="F89" s="29">
        <f t="shared" si="3"/>
        <v>190</v>
      </c>
      <c r="H89" s="7">
        <v>67.59</v>
      </c>
      <c r="I89" s="7">
        <v>69.33</v>
      </c>
      <c r="J89" s="7">
        <v>99.73</v>
      </c>
      <c r="K89" s="7">
        <v>88.75</v>
      </c>
      <c r="M89" s="7">
        <v>422.64307000000002</v>
      </c>
      <c r="N89" s="7">
        <v>656.88185999999996</v>
      </c>
      <c r="O89" s="7">
        <v>574.61943000000008</v>
      </c>
      <c r="Q89" s="25">
        <v>6269.12</v>
      </c>
      <c r="R89" s="25">
        <v>6428.66</v>
      </c>
      <c r="S89" s="25">
        <v>6372.63</v>
      </c>
    </row>
    <row r="90" spans="1:19" x14ac:dyDescent="0.2">
      <c r="A90" s="27">
        <v>70</v>
      </c>
      <c r="B90" s="1" t="s">
        <v>76</v>
      </c>
      <c r="C90" s="6">
        <v>25</v>
      </c>
      <c r="D90" s="6">
        <v>2</v>
      </c>
      <c r="E90" s="6">
        <v>243</v>
      </c>
      <c r="F90" s="29">
        <f t="shared" si="3"/>
        <v>270</v>
      </c>
      <c r="H90" s="7">
        <v>81.67</v>
      </c>
      <c r="I90" s="7">
        <v>71.5</v>
      </c>
      <c r="J90" s="7">
        <v>61.41</v>
      </c>
      <c r="K90" s="7">
        <v>63.31</v>
      </c>
      <c r="M90" s="7">
        <v>388.47629000000001</v>
      </c>
      <c r="N90" s="7">
        <v>164.19989999999999</v>
      </c>
      <c r="O90" s="7">
        <v>187.06303</v>
      </c>
      <c r="Q90" s="25">
        <v>3386.61</v>
      </c>
      <c r="R90" s="25">
        <v>2388.4699999999998</v>
      </c>
      <c r="S90" s="25">
        <v>2490.2199999999998</v>
      </c>
    </row>
    <row r="91" spans="1:19" x14ac:dyDescent="0.2">
      <c r="A91" s="27">
        <v>71</v>
      </c>
      <c r="B91" s="1" t="s">
        <v>77</v>
      </c>
      <c r="C91" s="6">
        <v>19</v>
      </c>
      <c r="D91" s="6">
        <v>10</v>
      </c>
      <c r="E91" s="6">
        <v>119</v>
      </c>
      <c r="F91" s="29">
        <f t="shared" si="3"/>
        <v>148</v>
      </c>
      <c r="H91" s="7">
        <v>65.78</v>
      </c>
      <c r="I91" s="7">
        <v>64.44</v>
      </c>
      <c r="J91" s="7">
        <v>74.25</v>
      </c>
      <c r="K91" s="7">
        <v>72.48</v>
      </c>
      <c r="M91" s="7">
        <v>234.02778000000001</v>
      </c>
      <c r="N91" s="7">
        <v>318.03185999999999</v>
      </c>
      <c r="O91" s="7">
        <v>304.03118000000001</v>
      </c>
      <c r="Q91" s="25">
        <v>3572.82</v>
      </c>
      <c r="R91" s="25">
        <v>4287.72</v>
      </c>
      <c r="S91" s="25">
        <v>4168.57</v>
      </c>
    </row>
    <row r="92" spans="1:19" x14ac:dyDescent="0.2">
      <c r="A92" s="27">
        <v>72</v>
      </c>
      <c r="B92" s="1" t="s">
        <v>78</v>
      </c>
      <c r="C92" s="6">
        <v>1</v>
      </c>
      <c r="D92" s="6">
        <v>0</v>
      </c>
      <c r="E92" s="6">
        <v>191</v>
      </c>
      <c r="F92" s="29">
        <f t="shared" si="3"/>
        <v>192</v>
      </c>
      <c r="H92" s="7">
        <v>42</v>
      </c>
      <c r="I92" s="7">
        <v>0</v>
      </c>
      <c r="J92" s="7">
        <v>70.28</v>
      </c>
      <c r="K92" s="7">
        <v>70.12</v>
      </c>
      <c r="M92" s="7">
        <v>0</v>
      </c>
      <c r="N92" s="7">
        <v>223.54007000000001</v>
      </c>
      <c r="O92" s="7">
        <v>222.90544</v>
      </c>
      <c r="Q92" s="25">
        <v>0</v>
      </c>
      <c r="R92" s="25">
        <v>3224.17</v>
      </c>
      <c r="S92" s="25">
        <v>3228.49</v>
      </c>
    </row>
    <row r="93" spans="1:19" x14ac:dyDescent="0.2">
      <c r="A93" s="28">
        <v>73</v>
      </c>
      <c r="B93" s="16" t="s">
        <v>79</v>
      </c>
      <c r="C93" s="18">
        <v>4</v>
      </c>
      <c r="D93" s="18">
        <v>1</v>
      </c>
      <c r="E93" s="18">
        <v>249</v>
      </c>
      <c r="F93" s="24">
        <f t="shared" si="3"/>
        <v>254</v>
      </c>
      <c r="G93" s="16"/>
      <c r="H93" s="17">
        <v>60.25</v>
      </c>
      <c r="I93" s="17">
        <v>85</v>
      </c>
      <c r="J93" s="17">
        <v>71.510000000000005</v>
      </c>
      <c r="K93" s="17">
        <v>71.38</v>
      </c>
      <c r="L93" s="17"/>
      <c r="M93" s="17">
        <v>222.5</v>
      </c>
      <c r="N93" s="17">
        <v>211.84530999999998</v>
      </c>
      <c r="O93" s="17">
        <v>212.12206</v>
      </c>
      <c r="P93" s="17"/>
      <c r="Q93" s="26">
        <v>3746.5</v>
      </c>
      <c r="R93" s="26">
        <v>3001.03</v>
      </c>
      <c r="S93" s="26">
        <v>3020.39</v>
      </c>
    </row>
    <row r="95" spans="1:19" x14ac:dyDescent="0.2">
      <c r="B95" s="35" t="s">
        <v>95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8C658-CB5C-4A61-ABCA-A60A0FA7F573}">
  <dimension ref="A1:S95"/>
  <sheetViews>
    <sheetView workbookViewId="0"/>
  </sheetViews>
  <sheetFormatPr defaultColWidth="11.42578125" defaultRowHeight="12" x14ac:dyDescent="0.2"/>
  <cols>
    <col min="1" max="1" width="4.85546875" style="1" customWidth="1"/>
    <col min="2" max="2" width="35.7109375" style="1" customWidth="1"/>
    <col min="3" max="6" width="10.7109375" style="6" customWidth="1"/>
    <col min="7" max="7" width="2.7109375" style="1" customWidth="1"/>
    <col min="8" max="11" width="10.7109375" style="7" customWidth="1"/>
    <col min="12" max="12" width="2.7109375" style="7" customWidth="1"/>
    <col min="13" max="15" width="10.7109375" style="7" customWidth="1"/>
    <col min="16" max="16" width="2.7109375" style="7" customWidth="1"/>
    <col min="17" max="19" width="10.7109375" style="7" customWidth="1"/>
    <col min="20" max="16384" width="11.42578125" style="1"/>
  </cols>
  <sheetData>
    <row r="1" spans="1:19" ht="15" x14ac:dyDescent="0.25">
      <c r="A1" s="2" t="s">
        <v>93</v>
      </c>
    </row>
    <row r="2" spans="1:19" ht="12.75" x14ac:dyDescent="0.2">
      <c r="A2" s="20" t="s">
        <v>100</v>
      </c>
    </row>
    <row r="3" spans="1:19" x14ac:dyDescent="0.2">
      <c r="A3" s="1" t="s">
        <v>97</v>
      </c>
    </row>
    <row r="4" spans="1:19" ht="13.5" x14ac:dyDescent="0.2">
      <c r="C4" s="12" t="s">
        <v>4</v>
      </c>
      <c r="D4" s="13"/>
      <c r="E4" s="13"/>
      <c r="F4" s="13"/>
      <c r="H4" s="8" t="s">
        <v>94</v>
      </c>
      <c r="I4" s="9"/>
      <c r="J4" s="9"/>
      <c r="K4" s="9"/>
      <c r="M4" s="8" t="s">
        <v>6</v>
      </c>
      <c r="N4" s="8"/>
      <c r="O4" s="8"/>
      <c r="Q4" s="8" t="s">
        <v>7</v>
      </c>
      <c r="R4" s="8"/>
      <c r="S4" s="8"/>
    </row>
    <row r="5" spans="1:19" s="3" customFormat="1" ht="24" x14ac:dyDescent="0.2">
      <c r="A5" s="4" t="s">
        <v>92</v>
      </c>
      <c r="B5" s="4"/>
      <c r="C5" s="14" t="s">
        <v>0</v>
      </c>
      <c r="D5" s="14" t="s">
        <v>1</v>
      </c>
      <c r="E5" s="14" t="s">
        <v>2</v>
      </c>
      <c r="F5" s="14" t="s">
        <v>3</v>
      </c>
      <c r="G5" s="5"/>
      <c r="H5" s="10" t="s">
        <v>0</v>
      </c>
      <c r="I5" s="10" t="s">
        <v>1</v>
      </c>
      <c r="J5" s="10" t="s">
        <v>2</v>
      </c>
      <c r="K5" s="10" t="s">
        <v>3</v>
      </c>
      <c r="L5" s="11"/>
      <c r="M5" s="10" t="s">
        <v>5</v>
      </c>
      <c r="N5" s="10" t="s">
        <v>2</v>
      </c>
      <c r="O5" s="10" t="s">
        <v>3</v>
      </c>
      <c r="P5" s="11"/>
      <c r="Q5" s="10" t="s">
        <v>5</v>
      </c>
      <c r="R5" s="10" t="s">
        <v>2</v>
      </c>
      <c r="S5" s="10" t="s">
        <v>3</v>
      </c>
    </row>
    <row r="6" spans="1:19" s="3" customFormat="1" x14ac:dyDescent="0.2">
      <c r="B6" s="33" t="s">
        <v>96</v>
      </c>
      <c r="C6" s="6">
        <v>1126</v>
      </c>
      <c r="D6" s="6">
        <v>71</v>
      </c>
      <c r="E6" s="6">
        <v>10235</v>
      </c>
      <c r="F6" s="6">
        <v>11432</v>
      </c>
      <c r="G6" s="1"/>
      <c r="H6" s="7">
        <v>84.03</v>
      </c>
      <c r="I6" s="7">
        <v>66.44</v>
      </c>
      <c r="J6" s="7">
        <v>79.3</v>
      </c>
      <c r="K6" s="7">
        <v>79.69</v>
      </c>
      <c r="L6" s="1"/>
      <c r="M6" s="7">
        <v>428.67806999999999</v>
      </c>
      <c r="N6" s="7">
        <v>367.08974999999998</v>
      </c>
      <c r="O6" s="7">
        <v>374.08497999999997</v>
      </c>
      <c r="P6" s="1"/>
      <c r="Q6" s="25">
        <v>4972.43</v>
      </c>
      <c r="R6" s="25">
        <v>4360.32</v>
      </c>
      <c r="S6" s="25">
        <v>4429.84</v>
      </c>
    </row>
    <row r="7" spans="1:19" s="3" customFormat="1" x14ac:dyDescent="0.2">
      <c r="C7" s="29"/>
      <c r="D7" s="29"/>
      <c r="E7" s="29"/>
      <c r="F7" s="29"/>
      <c r="H7" s="30"/>
      <c r="I7" s="30"/>
      <c r="J7" s="30"/>
      <c r="K7" s="30"/>
      <c r="L7" s="31"/>
      <c r="M7" s="30"/>
      <c r="N7" s="30"/>
      <c r="O7" s="30"/>
      <c r="P7" s="31"/>
      <c r="Q7" s="32"/>
      <c r="R7" s="32"/>
      <c r="S7" s="32"/>
    </row>
    <row r="8" spans="1:19" s="3" customFormat="1" x14ac:dyDescent="0.2">
      <c r="B8" s="34" t="s">
        <v>90</v>
      </c>
      <c r="C8" s="29"/>
      <c r="D8" s="29"/>
      <c r="E8" s="29"/>
      <c r="F8" s="29"/>
      <c r="H8" s="30"/>
      <c r="I8" s="30"/>
      <c r="J8" s="30"/>
      <c r="K8" s="30"/>
      <c r="L8" s="31"/>
      <c r="M8" s="30"/>
      <c r="N8" s="30"/>
      <c r="O8" s="30"/>
      <c r="P8" s="31"/>
      <c r="Q8" s="32"/>
      <c r="R8" s="32"/>
      <c r="S8" s="32"/>
    </row>
    <row r="9" spans="1:19" s="3" customFormat="1" x14ac:dyDescent="0.2">
      <c r="A9" s="27">
        <v>1</v>
      </c>
      <c r="B9" s="3" t="s">
        <v>81</v>
      </c>
      <c r="C9" s="29">
        <v>96</v>
      </c>
      <c r="D9" s="29">
        <v>0</v>
      </c>
      <c r="E9" s="29">
        <v>942</v>
      </c>
      <c r="F9" s="29">
        <f t="shared" ref="F9:F18" si="0">SUM(C9:E9)</f>
        <v>1038</v>
      </c>
      <c r="H9" s="30">
        <v>75.92</v>
      </c>
      <c r="I9" s="30">
        <v>0</v>
      </c>
      <c r="J9" s="30">
        <v>65.86</v>
      </c>
      <c r="K9" s="30">
        <v>66.819999999999993</v>
      </c>
      <c r="L9" s="31"/>
      <c r="M9" s="30">
        <v>393.48178000000001</v>
      </c>
      <c r="N9" s="30">
        <v>277.84151000000003</v>
      </c>
      <c r="O9" s="30">
        <v>288.95830999999998</v>
      </c>
      <c r="P9" s="31"/>
      <c r="Q9" s="32">
        <v>5256.48</v>
      </c>
      <c r="R9" s="32">
        <v>4137.63</v>
      </c>
      <c r="S9" s="32">
        <v>4245.1899999999996</v>
      </c>
    </row>
    <row r="10" spans="1:19" s="3" customFormat="1" x14ac:dyDescent="0.2">
      <c r="A10" s="27">
        <v>2</v>
      </c>
      <c r="B10" s="3" t="s">
        <v>82</v>
      </c>
      <c r="C10" s="29">
        <v>215</v>
      </c>
      <c r="D10" s="29">
        <v>14</v>
      </c>
      <c r="E10" s="29">
        <v>1644</v>
      </c>
      <c r="F10" s="29">
        <f t="shared" si="0"/>
        <v>1873</v>
      </c>
      <c r="H10" s="30">
        <v>93.07</v>
      </c>
      <c r="I10" s="30">
        <v>78.2</v>
      </c>
      <c r="J10" s="30">
        <v>91.11</v>
      </c>
      <c r="K10" s="30">
        <v>91.25</v>
      </c>
      <c r="L10" s="31"/>
      <c r="M10" s="30">
        <v>556.78706999999997</v>
      </c>
      <c r="N10" s="30">
        <v>483.17909999999995</v>
      </c>
      <c r="O10" s="30">
        <v>491.78795000000002</v>
      </c>
      <c r="P10" s="31"/>
      <c r="Q10" s="32">
        <v>5762.98</v>
      </c>
      <c r="R10" s="32">
        <v>5280.85</v>
      </c>
      <c r="S10" s="32">
        <v>5337.24</v>
      </c>
    </row>
    <row r="11" spans="1:19" s="3" customFormat="1" x14ac:dyDescent="0.2">
      <c r="A11" s="27">
        <v>3</v>
      </c>
      <c r="B11" s="3" t="s">
        <v>83</v>
      </c>
      <c r="C11" s="29">
        <v>140</v>
      </c>
      <c r="D11" s="29">
        <v>3</v>
      </c>
      <c r="E11" s="29">
        <v>1239</v>
      </c>
      <c r="F11" s="29">
        <f t="shared" si="0"/>
        <v>1382</v>
      </c>
      <c r="H11" s="30">
        <v>75.92</v>
      </c>
      <c r="I11" s="30">
        <v>59.67</v>
      </c>
      <c r="J11" s="30">
        <v>68.599999999999994</v>
      </c>
      <c r="K11" s="30">
        <v>69.38</v>
      </c>
      <c r="L11" s="31"/>
      <c r="M11" s="30">
        <v>318.87959000000001</v>
      </c>
      <c r="N11" s="30">
        <v>264.42809</v>
      </c>
      <c r="O11" s="30">
        <v>271.31587999999999</v>
      </c>
      <c r="P11" s="31"/>
      <c r="Q11" s="32">
        <v>4331.9399999999996</v>
      </c>
      <c r="R11" s="32">
        <v>3913.34</v>
      </c>
      <c r="S11" s="32">
        <v>3966.29</v>
      </c>
    </row>
    <row r="12" spans="1:19" s="3" customFormat="1" x14ac:dyDescent="0.2">
      <c r="A12" s="27">
        <v>4</v>
      </c>
      <c r="B12" s="3" t="s">
        <v>84</v>
      </c>
      <c r="C12" s="29">
        <v>14</v>
      </c>
      <c r="D12" s="29">
        <v>1</v>
      </c>
      <c r="E12" s="29">
        <v>433</v>
      </c>
      <c r="F12" s="29">
        <f t="shared" si="0"/>
        <v>448</v>
      </c>
      <c r="H12" s="30">
        <v>92.5</v>
      </c>
      <c r="I12" s="30">
        <v>0</v>
      </c>
      <c r="J12" s="30">
        <v>94.68</v>
      </c>
      <c r="K12" s="30">
        <v>94.62</v>
      </c>
      <c r="L12" s="31"/>
      <c r="M12" s="30">
        <v>543.41665999999998</v>
      </c>
      <c r="N12" s="30">
        <v>553.36027000000001</v>
      </c>
      <c r="O12" s="30">
        <v>553.01136999999994</v>
      </c>
      <c r="P12" s="31"/>
      <c r="Q12" s="32">
        <v>5883.82</v>
      </c>
      <c r="R12" s="32">
        <v>5379.24</v>
      </c>
      <c r="S12" s="32">
        <v>5396.94</v>
      </c>
    </row>
    <row r="13" spans="1:19" s="3" customFormat="1" x14ac:dyDescent="0.2">
      <c r="A13" s="27">
        <v>5</v>
      </c>
      <c r="B13" s="3" t="s">
        <v>85</v>
      </c>
      <c r="C13" s="29">
        <v>94</v>
      </c>
      <c r="D13" s="29">
        <v>0</v>
      </c>
      <c r="E13" s="29">
        <v>824</v>
      </c>
      <c r="F13" s="29">
        <f t="shared" si="0"/>
        <v>918</v>
      </c>
      <c r="H13" s="30">
        <v>115.96</v>
      </c>
      <c r="I13" s="30">
        <v>0</v>
      </c>
      <c r="J13" s="30">
        <v>128.52000000000001</v>
      </c>
      <c r="K13" s="30">
        <v>127.31</v>
      </c>
      <c r="L13" s="31"/>
      <c r="M13" s="30">
        <v>771.40353000000005</v>
      </c>
      <c r="N13" s="30">
        <v>765.46941000000004</v>
      </c>
      <c r="O13" s="30">
        <v>766.06356999999991</v>
      </c>
      <c r="P13" s="31"/>
      <c r="Q13" s="32">
        <v>6544.36</v>
      </c>
      <c r="R13" s="32">
        <v>5996.27</v>
      </c>
      <c r="S13" s="32">
        <v>6051.15</v>
      </c>
    </row>
    <row r="14" spans="1:19" s="3" customFormat="1" x14ac:dyDescent="0.2">
      <c r="A14" s="27">
        <v>6</v>
      </c>
      <c r="B14" s="3" t="s">
        <v>86</v>
      </c>
      <c r="C14" s="29">
        <v>82</v>
      </c>
      <c r="D14" s="29">
        <v>0</v>
      </c>
      <c r="E14" s="29">
        <v>747</v>
      </c>
      <c r="F14" s="29">
        <f t="shared" si="0"/>
        <v>829</v>
      </c>
      <c r="H14" s="30">
        <v>103.03</v>
      </c>
      <c r="I14" s="30">
        <v>0</v>
      </c>
      <c r="J14" s="30">
        <v>79.38</v>
      </c>
      <c r="K14" s="30">
        <v>81.69</v>
      </c>
      <c r="L14" s="31"/>
      <c r="M14" s="30">
        <v>480.28428000000002</v>
      </c>
      <c r="N14" s="30">
        <v>371.43223999999998</v>
      </c>
      <c r="O14" s="30">
        <v>382.18488000000002</v>
      </c>
      <c r="P14" s="31"/>
      <c r="Q14" s="32">
        <v>4866.84</v>
      </c>
      <c r="R14" s="32">
        <v>4779.04</v>
      </c>
      <c r="S14" s="32">
        <v>4787.71</v>
      </c>
    </row>
    <row r="15" spans="1:19" s="3" customFormat="1" x14ac:dyDescent="0.2">
      <c r="A15" s="27">
        <v>7</v>
      </c>
      <c r="B15" s="3" t="s">
        <v>87</v>
      </c>
      <c r="C15" s="29">
        <v>266</v>
      </c>
      <c r="D15" s="29">
        <v>9</v>
      </c>
      <c r="E15" s="29">
        <v>941</v>
      </c>
      <c r="F15" s="29">
        <f t="shared" si="0"/>
        <v>1216</v>
      </c>
      <c r="H15" s="30">
        <v>77.91</v>
      </c>
      <c r="I15" s="30">
        <v>69.12</v>
      </c>
      <c r="J15" s="30">
        <v>68.16</v>
      </c>
      <c r="K15" s="30">
        <v>70.36</v>
      </c>
      <c r="L15" s="31"/>
      <c r="M15" s="30">
        <v>313.97224</v>
      </c>
      <c r="N15" s="30">
        <v>235.46701000000002</v>
      </c>
      <c r="O15" s="30">
        <v>253.94767000000002</v>
      </c>
      <c r="P15" s="31"/>
      <c r="Q15" s="32">
        <v>3986.74</v>
      </c>
      <c r="R15" s="32">
        <v>3518.79</v>
      </c>
      <c r="S15" s="32">
        <v>3628.94</v>
      </c>
    </row>
    <row r="16" spans="1:19" s="3" customFormat="1" x14ac:dyDescent="0.2">
      <c r="A16" s="27">
        <v>8</v>
      </c>
      <c r="B16" s="3" t="s">
        <v>88</v>
      </c>
      <c r="C16" s="29">
        <v>12</v>
      </c>
      <c r="D16" s="29">
        <v>0</v>
      </c>
      <c r="E16" s="29">
        <v>1104</v>
      </c>
      <c r="F16" s="29">
        <f t="shared" si="0"/>
        <v>1116</v>
      </c>
      <c r="H16" s="30">
        <v>57.29</v>
      </c>
      <c r="I16" s="30">
        <v>0</v>
      </c>
      <c r="J16" s="30">
        <v>63.96</v>
      </c>
      <c r="K16" s="30">
        <v>63.91</v>
      </c>
      <c r="L16" s="31"/>
      <c r="M16" s="30">
        <v>233.57142999999999</v>
      </c>
      <c r="N16" s="30">
        <v>178.96535</v>
      </c>
      <c r="O16" s="30">
        <v>179.55614000000003</v>
      </c>
      <c r="P16" s="31"/>
      <c r="Q16" s="32">
        <v>4163.93</v>
      </c>
      <c r="R16" s="32">
        <v>2791.12</v>
      </c>
      <c r="S16" s="32">
        <v>2805.97</v>
      </c>
    </row>
    <row r="17" spans="1:19" s="3" customFormat="1" x14ac:dyDescent="0.2">
      <c r="A17" s="27">
        <v>9</v>
      </c>
      <c r="B17" s="3" t="s">
        <v>66</v>
      </c>
      <c r="C17" s="29">
        <v>42</v>
      </c>
      <c r="D17" s="29">
        <v>6</v>
      </c>
      <c r="E17" s="29">
        <v>895</v>
      </c>
      <c r="F17" s="29">
        <f t="shared" si="0"/>
        <v>943</v>
      </c>
      <c r="H17" s="30">
        <v>82.1</v>
      </c>
      <c r="I17" s="30">
        <v>76.67</v>
      </c>
      <c r="J17" s="30">
        <v>71.709999999999994</v>
      </c>
      <c r="K17" s="30">
        <v>72.22</v>
      </c>
      <c r="L17" s="31"/>
      <c r="M17" s="30">
        <v>306.54104999999998</v>
      </c>
      <c r="N17" s="30">
        <v>249.16345000000001</v>
      </c>
      <c r="O17" s="30">
        <v>252.73282</v>
      </c>
      <c r="P17" s="31"/>
      <c r="Q17" s="32">
        <v>3713.59</v>
      </c>
      <c r="R17" s="32">
        <v>3423.85</v>
      </c>
      <c r="S17" s="32">
        <v>3441.87</v>
      </c>
    </row>
    <row r="18" spans="1:19" s="3" customFormat="1" x14ac:dyDescent="0.2">
      <c r="A18" s="27">
        <v>10</v>
      </c>
      <c r="B18" s="3" t="s">
        <v>89</v>
      </c>
      <c r="C18" s="29">
        <v>151</v>
      </c>
      <c r="D18" s="29">
        <v>38</v>
      </c>
      <c r="E18" s="29">
        <v>1399</v>
      </c>
      <c r="F18" s="29">
        <f t="shared" si="0"/>
        <v>1588</v>
      </c>
      <c r="H18" s="30">
        <v>69.77</v>
      </c>
      <c r="I18" s="30">
        <v>61.29</v>
      </c>
      <c r="J18" s="30">
        <v>74.2</v>
      </c>
      <c r="K18" s="30">
        <v>73.459999999999994</v>
      </c>
      <c r="L18" s="31"/>
      <c r="M18" s="30">
        <v>396.74796999999995</v>
      </c>
      <c r="N18" s="30">
        <v>318.77386000000001</v>
      </c>
      <c r="O18" s="30">
        <v>328.44609000000003</v>
      </c>
      <c r="P18" s="31"/>
      <c r="Q18" s="32">
        <v>5474</v>
      </c>
      <c r="R18" s="32">
        <v>4120.5200000000004</v>
      </c>
      <c r="S18" s="32">
        <v>4288.41</v>
      </c>
    </row>
    <row r="19" spans="1:19" s="3" customFormat="1" x14ac:dyDescent="0.2">
      <c r="A19" s="27"/>
      <c r="C19" s="29"/>
      <c r="D19" s="29"/>
      <c r="E19" s="29"/>
      <c r="F19" s="29"/>
      <c r="H19" s="30"/>
      <c r="I19" s="30"/>
      <c r="J19" s="30"/>
      <c r="K19" s="30"/>
      <c r="L19" s="31"/>
      <c r="M19" s="30"/>
      <c r="N19" s="30"/>
      <c r="O19" s="30"/>
      <c r="P19" s="31"/>
      <c r="Q19" s="32"/>
      <c r="R19" s="32"/>
      <c r="S19" s="32"/>
    </row>
    <row r="20" spans="1:19" s="3" customFormat="1" x14ac:dyDescent="0.2">
      <c r="A20" s="27"/>
      <c r="B20" s="34" t="s">
        <v>91</v>
      </c>
      <c r="C20" s="29"/>
      <c r="D20" s="29"/>
      <c r="E20" s="29"/>
      <c r="F20" s="29"/>
      <c r="H20" s="30"/>
      <c r="I20" s="30"/>
      <c r="J20" s="30"/>
      <c r="K20" s="30"/>
      <c r="L20" s="31"/>
      <c r="M20" s="30"/>
      <c r="N20" s="30"/>
      <c r="O20" s="30"/>
      <c r="P20" s="31"/>
      <c r="Q20" s="32"/>
      <c r="R20" s="32"/>
      <c r="S20" s="32"/>
    </row>
    <row r="21" spans="1:19" x14ac:dyDescent="0.2">
      <c r="A21" s="27">
        <v>1</v>
      </c>
      <c r="B21" s="6" t="s">
        <v>8</v>
      </c>
      <c r="C21" s="6">
        <v>15</v>
      </c>
      <c r="D21" s="6">
        <v>0</v>
      </c>
      <c r="E21" s="6">
        <v>403</v>
      </c>
      <c r="F21" s="29">
        <f t="shared" ref="F21:F84" si="1">SUM(C21:E21)</f>
        <v>418</v>
      </c>
      <c r="H21" s="7">
        <v>78.92</v>
      </c>
      <c r="I21" s="7">
        <v>0</v>
      </c>
      <c r="J21" s="7">
        <v>59.3</v>
      </c>
      <c r="K21" s="7">
        <v>59.98</v>
      </c>
      <c r="M21" s="7">
        <v>399.23750000000001</v>
      </c>
      <c r="N21" s="7">
        <v>177.18726999999998</v>
      </c>
      <c r="O21" s="7">
        <v>185.02434</v>
      </c>
      <c r="Q21" s="25">
        <v>5703.06</v>
      </c>
      <c r="R21" s="25">
        <v>3033.15</v>
      </c>
      <c r="S21" s="25">
        <v>3127.38</v>
      </c>
    </row>
    <row r="22" spans="1:19" x14ac:dyDescent="0.2">
      <c r="A22" s="27">
        <v>2</v>
      </c>
      <c r="B22" s="6" t="s">
        <v>9</v>
      </c>
      <c r="C22" s="6">
        <v>39</v>
      </c>
      <c r="D22" s="6">
        <v>0</v>
      </c>
      <c r="E22" s="6">
        <v>168</v>
      </c>
      <c r="F22" s="29">
        <f t="shared" si="1"/>
        <v>207</v>
      </c>
      <c r="H22" s="7">
        <v>87.82</v>
      </c>
      <c r="I22" s="7">
        <v>0</v>
      </c>
      <c r="J22" s="7">
        <v>92.77</v>
      </c>
      <c r="K22" s="7">
        <v>91.88</v>
      </c>
      <c r="M22" s="7">
        <v>488.63882000000001</v>
      </c>
      <c r="N22" s="7">
        <v>482.81173999999999</v>
      </c>
      <c r="O22" s="7">
        <v>483.86556999999999</v>
      </c>
      <c r="Q22" s="25">
        <v>5407.12</v>
      </c>
      <c r="R22" s="25">
        <v>4730.05</v>
      </c>
      <c r="S22" s="25">
        <v>4852.5</v>
      </c>
    </row>
    <row r="23" spans="1:19" x14ac:dyDescent="0.2">
      <c r="A23" s="27">
        <v>3</v>
      </c>
      <c r="B23" s="6" t="s">
        <v>10</v>
      </c>
      <c r="C23" s="6">
        <v>17</v>
      </c>
      <c r="D23" s="6">
        <v>0</v>
      </c>
      <c r="E23" s="6">
        <v>139</v>
      </c>
      <c r="F23" s="29">
        <f t="shared" si="1"/>
        <v>156</v>
      </c>
      <c r="H23" s="7">
        <v>37.130000000000003</v>
      </c>
      <c r="I23" s="7">
        <v>0</v>
      </c>
      <c r="J23" s="7">
        <v>44.54</v>
      </c>
      <c r="K23" s="7">
        <v>43.73</v>
      </c>
      <c r="M23" s="7">
        <v>191.125</v>
      </c>
      <c r="N23" s="7">
        <v>239.75633999999999</v>
      </c>
      <c r="O23" s="7">
        <v>234.42688000000001</v>
      </c>
      <c r="Q23" s="25">
        <v>5326.66</v>
      </c>
      <c r="R23" s="25">
        <v>5506.41</v>
      </c>
      <c r="S23" s="25">
        <v>5486.71</v>
      </c>
    </row>
    <row r="24" spans="1:19" x14ac:dyDescent="0.2">
      <c r="A24" s="27">
        <v>4</v>
      </c>
      <c r="B24" s="6" t="s">
        <v>11</v>
      </c>
      <c r="C24" s="6">
        <v>25</v>
      </c>
      <c r="D24" s="6">
        <v>0</v>
      </c>
      <c r="E24" s="6">
        <v>232</v>
      </c>
      <c r="F24" s="29">
        <f t="shared" si="1"/>
        <v>257</v>
      </c>
      <c r="H24" s="7">
        <v>83.12</v>
      </c>
      <c r="I24" s="7">
        <v>0</v>
      </c>
      <c r="J24" s="7">
        <v>69.7</v>
      </c>
      <c r="K24" s="7">
        <v>71.150000000000006</v>
      </c>
      <c r="M24" s="7">
        <v>390.81380000000001</v>
      </c>
      <c r="N24" s="7">
        <v>308.91066999999998</v>
      </c>
      <c r="O24" s="7">
        <v>317.77465000000001</v>
      </c>
      <c r="Q24" s="25">
        <v>4792.34</v>
      </c>
      <c r="R24" s="25">
        <v>4589.55</v>
      </c>
      <c r="S24" s="25">
        <v>4611.5</v>
      </c>
    </row>
    <row r="25" spans="1:19" x14ac:dyDescent="0.2">
      <c r="A25" s="27">
        <v>5</v>
      </c>
      <c r="B25" s="6" t="s">
        <v>12</v>
      </c>
      <c r="C25" s="6">
        <v>6</v>
      </c>
      <c r="D25" s="6">
        <v>0</v>
      </c>
      <c r="E25" s="6">
        <v>170</v>
      </c>
      <c r="F25" s="29">
        <f t="shared" si="1"/>
        <v>176</v>
      </c>
      <c r="H25" s="7">
        <v>79.5</v>
      </c>
      <c r="I25" s="7">
        <v>0</v>
      </c>
      <c r="J25" s="7">
        <v>87.58</v>
      </c>
      <c r="K25" s="7">
        <v>87.29</v>
      </c>
      <c r="M25" s="7">
        <v>361.58332999999999</v>
      </c>
      <c r="N25" s="7">
        <v>392.43336999999997</v>
      </c>
      <c r="O25" s="7">
        <v>391.29078000000004</v>
      </c>
      <c r="Q25" s="25">
        <v>4521.8</v>
      </c>
      <c r="R25" s="25">
        <v>4616.82</v>
      </c>
      <c r="S25" s="25">
        <v>4613.3</v>
      </c>
    </row>
    <row r="26" spans="1:19" x14ac:dyDescent="0.2">
      <c r="A26" s="27">
        <v>6</v>
      </c>
      <c r="B26" s="6" t="s">
        <v>13</v>
      </c>
      <c r="C26" s="6">
        <v>22</v>
      </c>
      <c r="D26" s="6">
        <v>0</v>
      </c>
      <c r="E26" s="6">
        <v>345</v>
      </c>
      <c r="F26" s="29">
        <f t="shared" si="1"/>
        <v>367</v>
      </c>
      <c r="H26" s="7">
        <v>72.28</v>
      </c>
      <c r="I26" s="7">
        <v>0</v>
      </c>
      <c r="J26" s="7">
        <v>73.36</v>
      </c>
      <c r="K26" s="7">
        <v>73.3</v>
      </c>
      <c r="M26" s="7">
        <v>438.43710999999996</v>
      </c>
      <c r="N26" s="7">
        <v>338.52924999999999</v>
      </c>
      <c r="O26" s="7">
        <v>344.49859000000004</v>
      </c>
      <c r="Q26" s="25">
        <v>6217.18</v>
      </c>
      <c r="R26" s="25">
        <v>4757.05</v>
      </c>
      <c r="S26" s="25">
        <v>4844.29</v>
      </c>
    </row>
    <row r="27" spans="1:19" x14ac:dyDescent="0.2">
      <c r="A27" s="27">
        <v>7</v>
      </c>
      <c r="B27" s="6" t="s">
        <v>14</v>
      </c>
      <c r="C27" s="6">
        <v>46</v>
      </c>
      <c r="D27" s="6">
        <v>0</v>
      </c>
      <c r="E27" s="6">
        <v>349</v>
      </c>
      <c r="F27" s="29">
        <f t="shared" si="1"/>
        <v>395</v>
      </c>
      <c r="H27" s="7">
        <v>145.37</v>
      </c>
      <c r="I27" s="7">
        <v>0</v>
      </c>
      <c r="J27" s="7">
        <v>116.02</v>
      </c>
      <c r="K27" s="7">
        <v>119.1</v>
      </c>
      <c r="M27" s="7">
        <v>1044.2435500000001</v>
      </c>
      <c r="N27" s="7">
        <v>741.21265000000005</v>
      </c>
      <c r="O27" s="7">
        <v>773.46804000000009</v>
      </c>
      <c r="Q27" s="25">
        <v>7465.46</v>
      </c>
      <c r="R27" s="25">
        <v>6405.71</v>
      </c>
      <c r="S27" s="25">
        <v>6518.51</v>
      </c>
    </row>
    <row r="28" spans="1:19" x14ac:dyDescent="0.2">
      <c r="A28" s="27">
        <v>8</v>
      </c>
      <c r="B28" s="6" t="s">
        <v>15</v>
      </c>
      <c r="C28" s="6">
        <v>18</v>
      </c>
      <c r="D28" s="6">
        <v>1</v>
      </c>
      <c r="E28" s="6">
        <v>292</v>
      </c>
      <c r="F28" s="29">
        <f t="shared" si="1"/>
        <v>311</v>
      </c>
      <c r="H28" s="7">
        <v>105.13</v>
      </c>
      <c r="I28" s="7">
        <v>52</v>
      </c>
      <c r="J28" s="7">
        <v>96.98</v>
      </c>
      <c r="K28" s="7">
        <v>97.29</v>
      </c>
      <c r="M28" s="7">
        <v>856.43762000000004</v>
      </c>
      <c r="N28" s="7">
        <v>528.93753000000004</v>
      </c>
      <c r="O28" s="7">
        <v>547.99207999999999</v>
      </c>
      <c r="Q28" s="25">
        <v>7801.19</v>
      </c>
      <c r="R28" s="25">
        <v>5644.91</v>
      </c>
      <c r="S28" s="25">
        <v>5770.37</v>
      </c>
    </row>
    <row r="29" spans="1:19" x14ac:dyDescent="0.2">
      <c r="A29" s="27">
        <v>9</v>
      </c>
      <c r="B29" s="6" t="s">
        <v>16</v>
      </c>
      <c r="C29" s="6">
        <v>102</v>
      </c>
      <c r="D29" s="6">
        <v>10</v>
      </c>
      <c r="E29" s="6">
        <v>249</v>
      </c>
      <c r="F29" s="29">
        <f t="shared" si="1"/>
        <v>361</v>
      </c>
      <c r="H29" s="7">
        <v>76.709999999999994</v>
      </c>
      <c r="I29" s="7">
        <v>80.5</v>
      </c>
      <c r="J29" s="7">
        <v>81.67</v>
      </c>
      <c r="K29" s="7">
        <v>80.22</v>
      </c>
      <c r="M29" s="7">
        <v>376.65143999999998</v>
      </c>
      <c r="N29" s="7">
        <v>399.74324999999999</v>
      </c>
      <c r="O29" s="7">
        <v>392.49258000000003</v>
      </c>
      <c r="Q29" s="25">
        <v>4944.3100000000004</v>
      </c>
      <c r="R29" s="25">
        <v>4853.41</v>
      </c>
      <c r="S29" s="25">
        <v>4881.95</v>
      </c>
    </row>
    <row r="30" spans="1:19" x14ac:dyDescent="0.2">
      <c r="A30" s="27">
        <v>10</v>
      </c>
      <c r="B30" s="6" t="s">
        <v>17</v>
      </c>
      <c r="C30" s="6">
        <v>21</v>
      </c>
      <c r="D30" s="6">
        <v>3</v>
      </c>
      <c r="E30" s="6">
        <v>239</v>
      </c>
      <c r="F30" s="29">
        <f t="shared" si="1"/>
        <v>263</v>
      </c>
      <c r="H30" s="7">
        <v>81.78</v>
      </c>
      <c r="I30" s="7">
        <v>86</v>
      </c>
      <c r="J30" s="7">
        <v>83.43</v>
      </c>
      <c r="K30" s="7">
        <v>83.31</v>
      </c>
      <c r="M30" s="7">
        <v>372.04232999999999</v>
      </c>
      <c r="N30" s="7">
        <v>379.62004999999999</v>
      </c>
      <c r="O30" s="7">
        <v>378.97361000000001</v>
      </c>
      <c r="Q30" s="25">
        <v>4475.68</v>
      </c>
      <c r="R30" s="25">
        <v>4726.47</v>
      </c>
      <c r="S30" s="25">
        <v>4705.08</v>
      </c>
    </row>
    <row r="31" spans="1:19" x14ac:dyDescent="0.2">
      <c r="A31" s="27">
        <v>11</v>
      </c>
      <c r="B31" s="6" t="s">
        <v>18</v>
      </c>
      <c r="C31" s="6">
        <v>4</v>
      </c>
      <c r="D31" s="6">
        <v>0</v>
      </c>
      <c r="E31" s="6">
        <v>322</v>
      </c>
      <c r="F31" s="29">
        <f t="shared" si="1"/>
        <v>326</v>
      </c>
      <c r="H31" s="7">
        <v>58</v>
      </c>
      <c r="I31" s="7">
        <v>0</v>
      </c>
      <c r="J31" s="7">
        <v>62.82</v>
      </c>
      <c r="K31" s="7">
        <v>62.77</v>
      </c>
      <c r="M31" s="7">
        <v>305.33366999999998</v>
      </c>
      <c r="N31" s="7">
        <v>246.84842999999998</v>
      </c>
      <c r="O31" s="7">
        <v>247.50557000000001</v>
      </c>
      <c r="Q31" s="25">
        <v>5267.12</v>
      </c>
      <c r="R31" s="25">
        <v>4058.95</v>
      </c>
      <c r="S31" s="25">
        <v>4072.52</v>
      </c>
    </row>
    <row r="32" spans="1:19" x14ac:dyDescent="0.2">
      <c r="A32" s="27">
        <v>12</v>
      </c>
      <c r="B32" s="6" t="s">
        <v>19</v>
      </c>
      <c r="C32" s="6">
        <v>70</v>
      </c>
      <c r="D32" s="6">
        <v>3</v>
      </c>
      <c r="E32" s="6">
        <v>71</v>
      </c>
      <c r="F32" s="29">
        <f t="shared" si="1"/>
        <v>144</v>
      </c>
      <c r="H32" s="7">
        <v>81.97</v>
      </c>
      <c r="I32" s="7">
        <v>59.67</v>
      </c>
      <c r="J32" s="7">
        <v>81.03</v>
      </c>
      <c r="K32" s="7">
        <v>81.040000000000006</v>
      </c>
      <c r="M32" s="7">
        <v>345.16353999999995</v>
      </c>
      <c r="N32" s="7">
        <v>359.89096999999998</v>
      </c>
      <c r="O32" s="7">
        <v>352.13969000000003</v>
      </c>
      <c r="Q32" s="25">
        <v>4381.8999999999996</v>
      </c>
      <c r="R32" s="25">
        <v>4443.05</v>
      </c>
      <c r="S32" s="25">
        <v>4410.87</v>
      </c>
    </row>
    <row r="33" spans="1:19" x14ac:dyDescent="0.2">
      <c r="A33" s="27">
        <v>13</v>
      </c>
      <c r="B33" s="6" t="s">
        <v>20</v>
      </c>
      <c r="C33" s="6">
        <v>7</v>
      </c>
      <c r="D33" s="6">
        <v>0</v>
      </c>
      <c r="E33" s="6">
        <v>192</v>
      </c>
      <c r="F33" s="29">
        <f t="shared" si="1"/>
        <v>199</v>
      </c>
      <c r="H33" s="7">
        <v>48.43</v>
      </c>
      <c r="I33" s="7">
        <v>0</v>
      </c>
      <c r="J33" s="7">
        <v>70.739999999999995</v>
      </c>
      <c r="K33" s="7">
        <v>69.87</v>
      </c>
      <c r="M33" s="7">
        <v>178.92857000000001</v>
      </c>
      <c r="N33" s="7">
        <v>262.90972999999997</v>
      </c>
      <c r="O33" s="7">
        <v>258.35260999999997</v>
      </c>
      <c r="Q33" s="25">
        <v>3760.16</v>
      </c>
      <c r="R33" s="25">
        <v>3741.42</v>
      </c>
      <c r="S33" s="25">
        <v>3742.44</v>
      </c>
    </row>
    <row r="34" spans="1:19" x14ac:dyDescent="0.2">
      <c r="A34" s="27">
        <v>14</v>
      </c>
      <c r="B34" s="6" t="s">
        <v>21</v>
      </c>
      <c r="C34" s="6">
        <v>10</v>
      </c>
      <c r="D34" s="6">
        <v>0</v>
      </c>
      <c r="E34" s="6">
        <v>52</v>
      </c>
      <c r="F34" s="29">
        <f t="shared" si="1"/>
        <v>62</v>
      </c>
      <c r="H34" s="7">
        <v>75.78</v>
      </c>
      <c r="I34" s="7">
        <v>0</v>
      </c>
      <c r="J34" s="7">
        <v>82.5</v>
      </c>
      <c r="K34" s="7">
        <v>81.31</v>
      </c>
      <c r="M34" s="7">
        <v>330.11111</v>
      </c>
      <c r="N34" s="7">
        <v>275.25</v>
      </c>
      <c r="O34" s="7">
        <v>284.93137000000002</v>
      </c>
      <c r="Q34" s="25">
        <v>4475.1899999999996</v>
      </c>
      <c r="R34" s="25">
        <v>3596.78</v>
      </c>
      <c r="S34" s="25">
        <v>3751.79</v>
      </c>
    </row>
    <row r="35" spans="1:19" x14ac:dyDescent="0.2">
      <c r="A35" s="27">
        <v>15</v>
      </c>
      <c r="B35" s="6" t="s">
        <v>22</v>
      </c>
      <c r="C35" s="6">
        <v>22</v>
      </c>
      <c r="D35" s="6">
        <v>0</v>
      </c>
      <c r="E35" s="6">
        <v>79</v>
      </c>
      <c r="F35" s="29">
        <f t="shared" si="1"/>
        <v>101</v>
      </c>
      <c r="H35" s="7">
        <v>69.25</v>
      </c>
      <c r="I35" s="7">
        <v>0</v>
      </c>
      <c r="J35" s="7">
        <v>70.05</v>
      </c>
      <c r="K35" s="7">
        <v>69.88</v>
      </c>
      <c r="M35" s="7">
        <v>321.39044999999999</v>
      </c>
      <c r="N35" s="7">
        <v>278.37995000000001</v>
      </c>
      <c r="O35" s="7">
        <v>287.73005999999998</v>
      </c>
      <c r="Q35" s="25">
        <v>4657.75</v>
      </c>
      <c r="R35" s="25">
        <v>3967.27</v>
      </c>
      <c r="S35" s="25">
        <v>4117.37</v>
      </c>
    </row>
    <row r="36" spans="1:19" x14ac:dyDescent="0.2">
      <c r="A36" s="27">
        <v>16</v>
      </c>
      <c r="B36" s="6" t="s">
        <v>23</v>
      </c>
      <c r="C36" s="6">
        <v>4</v>
      </c>
      <c r="D36" s="6">
        <v>0</v>
      </c>
      <c r="E36" s="6">
        <v>140</v>
      </c>
      <c r="F36" s="29">
        <f t="shared" si="1"/>
        <v>144</v>
      </c>
      <c r="H36" s="7">
        <v>85</v>
      </c>
      <c r="I36" s="7">
        <v>0</v>
      </c>
      <c r="J36" s="7">
        <v>68.78</v>
      </c>
      <c r="K36" s="7">
        <v>69.11</v>
      </c>
      <c r="M36" s="7">
        <v>363.72500000000002</v>
      </c>
      <c r="N36" s="7">
        <v>246.30667000000003</v>
      </c>
      <c r="O36" s="7">
        <v>249.35650000000001</v>
      </c>
      <c r="Q36" s="25">
        <v>5064.1000000000004</v>
      </c>
      <c r="R36" s="25">
        <v>3584.94</v>
      </c>
      <c r="S36" s="25">
        <v>3623.36</v>
      </c>
    </row>
    <row r="37" spans="1:19" x14ac:dyDescent="0.2">
      <c r="A37" s="27">
        <v>17</v>
      </c>
      <c r="B37" s="6" t="s">
        <v>24</v>
      </c>
      <c r="C37" s="6">
        <v>10</v>
      </c>
      <c r="D37" s="6">
        <v>0</v>
      </c>
      <c r="E37" s="6">
        <v>148</v>
      </c>
      <c r="F37" s="29">
        <f t="shared" si="1"/>
        <v>158</v>
      </c>
      <c r="H37" s="7">
        <v>74.599999999999994</v>
      </c>
      <c r="I37" s="7">
        <v>0</v>
      </c>
      <c r="J37" s="7">
        <v>65.569999999999993</v>
      </c>
      <c r="K37" s="7">
        <v>66.27</v>
      </c>
      <c r="M37" s="7">
        <v>216.45</v>
      </c>
      <c r="N37" s="7">
        <v>252.76537999999999</v>
      </c>
      <c r="O37" s="7">
        <v>248.98253</v>
      </c>
      <c r="Q37" s="25">
        <v>3157.24</v>
      </c>
      <c r="R37" s="25">
        <v>3921.73</v>
      </c>
      <c r="S37" s="25">
        <v>3842.1</v>
      </c>
    </row>
    <row r="38" spans="1:19" x14ac:dyDescent="0.2">
      <c r="A38" s="27">
        <v>18</v>
      </c>
      <c r="B38" s="6" t="s">
        <v>25</v>
      </c>
      <c r="C38" s="6">
        <v>13</v>
      </c>
      <c r="D38" s="6">
        <v>0</v>
      </c>
      <c r="E38" s="6">
        <v>235</v>
      </c>
      <c r="F38" s="29">
        <f t="shared" si="1"/>
        <v>248</v>
      </c>
      <c r="H38" s="7">
        <v>68</v>
      </c>
      <c r="I38" s="7">
        <v>0</v>
      </c>
      <c r="J38" s="7">
        <v>68.739999999999995</v>
      </c>
      <c r="K38" s="7">
        <v>68.72</v>
      </c>
      <c r="M38" s="7">
        <v>312.83332999999999</v>
      </c>
      <c r="N38" s="7">
        <v>262.56632999999999</v>
      </c>
      <c r="O38" s="7">
        <v>264.46320000000003</v>
      </c>
      <c r="Q38" s="25">
        <v>4361.3900000000003</v>
      </c>
      <c r="R38" s="25">
        <v>3798.83</v>
      </c>
      <c r="S38" s="25">
        <v>3820.06</v>
      </c>
    </row>
    <row r="39" spans="1:19" x14ac:dyDescent="0.2">
      <c r="A39" s="27">
        <v>19</v>
      </c>
      <c r="B39" s="6" t="s">
        <v>26</v>
      </c>
      <c r="C39" s="6">
        <v>13</v>
      </c>
      <c r="D39" s="6">
        <v>1</v>
      </c>
      <c r="E39" s="6">
        <v>258</v>
      </c>
      <c r="F39" s="29">
        <f t="shared" si="1"/>
        <v>272</v>
      </c>
      <c r="H39" s="7">
        <v>91.82</v>
      </c>
      <c r="I39" s="7">
        <v>0</v>
      </c>
      <c r="J39" s="7">
        <v>85.66</v>
      </c>
      <c r="K39" s="7">
        <v>85.94</v>
      </c>
      <c r="M39" s="7">
        <v>540.54544999999996</v>
      </c>
      <c r="N39" s="7">
        <v>447.87837999999999</v>
      </c>
      <c r="O39" s="7">
        <v>452.40877</v>
      </c>
      <c r="Q39" s="25">
        <v>5895.99</v>
      </c>
      <c r="R39" s="25">
        <v>5220.43</v>
      </c>
      <c r="S39" s="25">
        <v>5253.46</v>
      </c>
    </row>
    <row r="40" spans="1:19" x14ac:dyDescent="0.2">
      <c r="A40" s="27">
        <v>20</v>
      </c>
      <c r="B40" s="6" t="s">
        <v>27</v>
      </c>
      <c r="C40" s="6">
        <v>0</v>
      </c>
      <c r="D40" s="6">
        <v>0</v>
      </c>
      <c r="E40" s="6">
        <v>111</v>
      </c>
      <c r="F40" s="29">
        <f t="shared" si="1"/>
        <v>111</v>
      </c>
      <c r="H40" s="7">
        <v>0</v>
      </c>
      <c r="I40" s="7">
        <v>0</v>
      </c>
      <c r="J40" s="7">
        <v>81.77</v>
      </c>
      <c r="K40" s="7">
        <v>81.77</v>
      </c>
      <c r="M40" s="7">
        <v>0</v>
      </c>
      <c r="N40" s="7">
        <v>405.02298999999999</v>
      </c>
      <c r="O40" s="7">
        <v>405.02298999999999</v>
      </c>
      <c r="Q40" s="7">
        <v>0</v>
      </c>
      <c r="R40" s="25">
        <v>4738.09</v>
      </c>
      <c r="S40" s="25">
        <v>4738.09</v>
      </c>
    </row>
    <row r="41" spans="1:19" x14ac:dyDescent="0.2">
      <c r="A41" s="27">
        <v>21</v>
      </c>
      <c r="B41" s="6" t="s">
        <v>28</v>
      </c>
      <c r="C41" s="6">
        <v>1</v>
      </c>
      <c r="D41" s="6">
        <v>0</v>
      </c>
      <c r="E41" s="6">
        <v>64</v>
      </c>
      <c r="F41" s="29">
        <f t="shared" si="1"/>
        <v>65</v>
      </c>
      <c r="H41" s="7">
        <v>100</v>
      </c>
      <c r="I41" s="7">
        <v>0</v>
      </c>
      <c r="J41" s="7">
        <v>157.15</v>
      </c>
      <c r="K41" s="7">
        <v>156.11000000000001</v>
      </c>
      <c r="M41" s="7">
        <v>0</v>
      </c>
      <c r="N41" s="7">
        <v>1251.4112600000001</v>
      </c>
      <c r="O41" s="7">
        <v>1237.3193600000002</v>
      </c>
      <c r="Q41" s="7">
        <v>0</v>
      </c>
      <c r="R41" s="25">
        <v>7043.59</v>
      </c>
      <c r="S41" s="25">
        <v>7016.64</v>
      </c>
    </row>
    <row r="42" spans="1:19" x14ac:dyDescent="0.2">
      <c r="A42" s="27">
        <v>22</v>
      </c>
      <c r="B42" s="6" t="s">
        <v>29</v>
      </c>
      <c r="C42" s="6">
        <v>1</v>
      </c>
      <c r="D42" s="6">
        <v>0</v>
      </c>
      <c r="E42" s="6">
        <v>19</v>
      </c>
      <c r="F42" s="29">
        <f t="shared" si="1"/>
        <v>20</v>
      </c>
      <c r="H42" s="7">
        <v>86</v>
      </c>
      <c r="I42" s="7">
        <v>0</v>
      </c>
      <c r="J42" s="7">
        <v>130.62</v>
      </c>
      <c r="K42" s="7">
        <v>127.43</v>
      </c>
      <c r="M42" s="7">
        <v>0</v>
      </c>
      <c r="N42" s="7">
        <v>466.76922999999999</v>
      </c>
      <c r="O42" s="7">
        <v>462</v>
      </c>
      <c r="Q42" s="7">
        <v>0</v>
      </c>
      <c r="R42" s="25">
        <v>3730.04</v>
      </c>
      <c r="S42" s="25">
        <v>3795.83</v>
      </c>
    </row>
    <row r="43" spans="1:19" x14ac:dyDescent="0.2">
      <c r="A43" s="27">
        <v>23</v>
      </c>
      <c r="B43" s="6" t="s">
        <v>30</v>
      </c>
      <c r="C43" s="6">
        <v>6</v>
      </c>
      <c r="D43" s="6">
        <v>0</v>
      </c>
      <c r="E43" s="6">
        <v>118</v>
      </c>
      <c r="F43" s="29">
        <f t="shared" si="1"/>
        <v>124</v>
      </c>
      <c r="H43" s="7">
        <v>157.83000000000001</v>
      </c>
      <c r="I43" s="7">
        <v>0</v>
      </c>
      <c r="J43" s="7">
        <v>122.19</v>
      </c>
      <c r="K43" s="7">
        <v>124.1</v>
      </c>
      <c r="M43" s="7">
        <v>1780.2083300000002</v>
      </c>
      <c r="N43" s="7">
        <v>821.43603000000007</v>
      </c>
      <c r="O43" s="7">
        <v>876.74982</v>
      </c>
      <c r="Q43" s="25">
        <v>9728.39</v>
      </c>
      <c r="R43" s="25">
        <v>6836.31</v>
      </c>
      <c r="S43" s="25">
        <v>7003.16</v>
      </c>
    </row>
    <row r="44" spans="1:19" x14ac:dyDescent="0.2">
      <c r="A44" s="27">
        <v>24</v>
      </c>
      <c r="B44" s="6" t="s">
        <v>31</v>
      </c>
      <c r="C44" s="6">
        <v>2</v>
      </c>
      <c r="D44" s="6">
        <v>0</v>
      </c>
      <c r="E44" s="6">
        <v>94</v>
      </c>
      <c r="F44" s="29">
        <f t="shared" si="1"/>
        <v>96</v>
      </c>
      <c r="H44" s="7">
        <v>204</v>
      </c>
      <c r="I44" s="7">
        <v>0</v>
      </c>
      <c r="J44" s="7">
        <v>159.63</v>
      </c>
      <c r="K44" s="7">
        <v>160.69</v>
      </c>
      <c r="M44" s="7">
        <v>0</v>
      </c>
      <c r="N44" s="7">
        <v>1037.2149300000001</v>
      </c>
      <c r="O44" s="7">
        <v>1037.5513800000001</v>
      </c>
      <c r="Q44" s="7">
        <v>0</v>
      </c>
      <c r="R44" s="25">
        <v>6460.87</v>
      </c>
      <c r="S44" s="25">
        <v>6426.49</v>
      </c>
    </row>
    <row r="45" spans="1:19" x14ac:dyDescent="0.2">
      <c r="A45" s="27">
        <v>25</v>
      </c>
      <c r="B45" s="6" t="s">
        <v>32</v>
      </c>
      <c r="C45" s="6">
        <v>27</v>
      </c>
      <c r="D45" s="6">
        <v>0</v>
      </c>
      <c r="E45" s="6">
        <v>120</v>
      </c>
      <c r="F45" s="29">
        <f t="shared" si="1"/>
        <v>147</v>
      </c>
      <c r="H45" s="7">
        <v>87.39</v>
      </c>
      <c r="I45" s="7">
        <v>0</v>
      </c>
      <c r="J45" s="7">
        <v>123.23</v>
      </c>
      <c r="K45" s="7">
        <v>116.64</v>
      </c>
      <c r="M45" s="7">
        <v>577.87522000000001</v>
      </c>
      <c r="N45" s="7">
        <v>812.10334999999998</v>
      </c>
      <c r="O45" s="7">
        <v>769.00536999999997</v>
      </c>
      <c r="Q45" s="25">
        <v>6684.01</v>
      </c>
      <c r="R45" s="25">
        <v>6404.31</v>
      </c>
      <c r="S45" s="25">
        <v>6455.77</v>
      </c>
    </row>
    <row r="46" spans="1:19" x14ac:dyDescent="0.2">
      <c r="A46" s="27">
        <v>26</v>
      </c>
      <c r="B46" s="6" t="s">
        <v>33</v>
      </c>
      <c r="C46" s="6">
        <v>45</v>
      </c>
      <c r="D46" s="6">
        <v>0</v>
      </c>
      <c r="E46" s="6">
        <v>304</v>
      </c>
      <c r="F46" s="29">
        <f t="shared" si="1"/>
        <v>349</v>
      </c>
      <c r="H46" s="7">
        <v>135.82</v>
      </c>
      <c r="I46" s="7">
        <v>0</v>
      </c>
      <c r="J46" s="7">
        <v>137.44999999999999</v>
      </c>
      <c r="K46" s="7">
        <v>137.25</v>
      </c>
      <c r="M46" s="7">
        <v>824.56575999999995</v>
      </c>
      <c r="N46" s="7">
        <v>802.75952000000007</v>
      </c>
      <c r="O46" s="7">
        <v>805.44118999999989</v>
      </c>
      <c r="Q46" s="25">
        <v>6216.22</v>
      </c>
      <c r="R46" s="25">
        <v>5981.31</v>
      </c>
      <c r="S46" s="25">
        <v>6010.2</v>
      </c>
    </row>
    <row r="47" spans="1:19" x14ac:dyDescent="0.2">
      <c r="A47" s="27">
        <v>27</v>
      </c>
      <c r="B47" s="6" t="s">
        <v>34</v>
      </c>
      <c r="C47" s="6">
        <v>13</v>
      </c>
      <c r="D47" s="6">
        <v>0</v>
      </c>
      <c r="E47" s="6">
        <v>169</v>
      </c>
      <c r="F47" s="29">
        <f t="shared" si="1"/>
        <v>182</v>
      </c>
      <c r="H47" s="7">
        <v>61</v>
      </c>
      <c r="I47" s="7">
        <v>0</v>
      </c>
      <c r="J47" s="7">
        <v>104.28</v>
      </c>
      <c r="K47" s="7">
        <v>101.95</v>
      </c>
      <c r="M47" s="7">
        <v>348.33332999999999</v>
      </c>
      <c r="N47" s="7">
        <v>524.85706000000005</v>
      </c>
      <c r="O47" s="7">
        <v>514.98927000000003</v>
      </c>
      <c r="Q47" s="25">
        <v>5969.52</v>
      </c>
      <c r="R47" s="25">
        <v>5175.1499999999996</v>
      </c>
      <c r="S47" s="25">
        <v>5219.5600000000004</v>
      </c>
    </row>
    <row r="48" spans="1:19" x14ac:dyDescent="0.2">
      <c r="A48" s="27">
        <v>28</v>
      </c>
      <c r="B48" s="6" t="s">
        <v>35</v>
      </c>
      <c r="C48" s="6">
        <v>53</v>
      </c>
      <c r="D48" s="6">
        <v>0</v>
      </c>
      <c r="E48" s="6">
        <v>79</v>
      </c>
      <c r="F48" s="29">
        <f t="shared" si="1"/>
        <v>132</v>
      </c>
      <c r="H48" s="7">
        <v>112.66</v>
      </c>
      <c r="I48" s="7">
        <v>0</v>
      </c>
      <c r="J48" s="7">
        <v>94.94</v>
      </c>
      <c r="K48" s="7">
        <v>101.94</v>
      </c>
      <c r="M48" s="7">
        <v>447.54715999999996</v>
      </c>
      <c r="N48" s="7">
        <v>419.05054999999999</v>
      </c>
      <c r="O48" s="7">
        <v>430.69698999999997</v>
      </c>
      <c r="Q48" s="25">
        <v>4420.8</v>
      </c>
      <c r="R48" s="25">
        <v>4345.97</v>
      </c>
      <c r="S48" s="25">
        <v>4376.55</v>
      </c>
    </row>
    <row r="49" spans="1:19" x14ac:dyDescent="0.2">
      <c r="A49" s="27">
        <v>29</v>
      </c>
      <c r="B49" s="6" t="s">
        <v>36</v>
      </c>
      <c r="C49" s="6">
        <v>7</v>
      </c>
      <c r="D49" s="6">
        <v>0</v>
      </c>
      <c r="E49" s="6">
        <v>26</v>
      </c>
      <c r="F49" s="29">
        <f t="shared" si="1"/>
        <v>33</v>
      </c>
      <c r="H49" s="7">
        <v>76.430000000000007</v>
      </c>
      <c r="I49" s="7">
        <v>0</v>
      </c>
      <c r="J49" s="7">
        <v>74.5</v>
      </c>
      <c r="K49" s="7">
        <v>74.91</v>
      </c>
      <c r="M49" s="7">
        <v>261.28570999999999</v>
      </c>
      <c r="N49" s="7">
        <v>258.68311999999997</v>
      </c>
      <c r="O49" s="7">
        <v>259.23518000000001</v>
      </c>
      <c r="Q49" s="25">
        <v>3427.04</v>
      </c>
      <c r="R49" s="25">
        <v>3324.26</v>
      </c>
      <c r="S49" s="25">
        <v>3346.06</v>
      </c>
    </row>
    <row r="50" spans="1:19" x14ac:dyDescent="0.2">
      <c r="A50" s="27">
        <v>30</v>
      </c>
      <c r="B50" s="6" t="s">
        <v>37</v>
      </c>
      <c r="C50" s="6">
        <v>6</v>
      </c>
      <c r="D50" s="6">
        <v>0</v>
      </c>
      <c r="E50" s="6">
        <v>98</v>
      </c>
      <c r="F50" s="29">
        <f t="shared" si="1"/>
        <v>104</v>
      </c>
      <c r="H50" s="7">
        <v>83.2</v>
      </c>
      <c r="I50" s="7">
        <v>0</v>
      </c>
      <c r="J50" s="7">
        <v>89.35</v>
      </c>
      <c r="K50" s="7">
        <v>89.03</v>
      </c>
      <c r="M50" s="7">
        <v>511</v>
      </c>
      <c r="N50" s="7">
        <v>391.20296000000002</v>
      </c>
      <c r="O50" s="7">
        <v>397.44238999999999</v>
      </c>
      <c r="Q50" s="25">
        <v>6098.39</v>
      </c>
      <c r="R50" s="25">
        <v>4587.0600000000004</v>
      </c>
      <c r="S50" s="25">
        <v>4665.78</v>
      </c>
    </row>
    <row r="51" spans="1:19" x14ac:dyDescent="0.2">
      <c r="A51" s="27">
        <v>31</v>
      </c>
      <c r="B51" s="6" t="s">
        <v>38</v>
      </c>
      <c r="C51" s="6">
        <v>10</v>
      </c>
      <c r="D51" s="6">
        <v>0</v>
      </c>
      <c r="E51" s="6">
        <v>324</v>
      </c>
      <c r="F51" s="29">
        <f t="shared" si="1"/>
        <v>334</v>
      </c>
      <c r="H51" s="7">
        <v>83.63</v>
      </c>
      <c r="I51" s="7">
        <v>0</v>
      </c>
      <c r="J51" s="7">
        <v>76.25</v>
      </c>
      <c r="K51" s="7">
        <v>76.459999999999994</v>
      </c>
      <c r="M51" s="7">
        <v>714.97950000000003</v>
      </c>
      <c r="N51" s="7">
        <v>376.46105999999997</v>
      </c>
      <c r="O51" s="7">
        <v>386.03048999999999</v>
      </c>
      <c r="Q51" s="25">
        <v>6630.39</v>
      </c>
      <c r="R51" s="25">
        <v>5040.33</v>
      </c>
      <c r="S51" s="25">
        <v>5085.28</v>
      </c>
    </row>
    <row r="52" spans="1:19" x14ac:dyDescent="0.2">
      <c r="A52" s="27">
        <v>32</v>
      </c>
      <c r="B52" s="6" t="s">
        <v>39</v>
      </c>
      <c r="C52" s="6">
        <v>6</v>
      </c>
      <c r="D52" s="6">
        <v>0</v>
      </c>
      <c r="E52" s="6">
        <v>220</v>
      </c>
      <c r="F52" s="29">
        <f t="shared" si="1"/>
        <v>226</v>
      </c>
      <c r="H52" s="7">
        <v>101</v>
      </c>
      <c r="I52" s="7">
        <v>0</v>
      </c>
      <c r="J52" s="7">
        <v>74.42</v>
      </c>
      <c r="K52" s="7">
        <v>75.17</v>
      </c>
      <c r="M52" s="7">
        <v>653.70001000000002</v>
      </c>
      <c r="N52" s="7">
        <v>354.49714</v>
      </c>
      <c r="O52" s="7">
        <v>362.96515000000005</v>
      </c>
      <c r="Q52" s="25">
        <v>6662.93</v>
      </c>
      <c r="R52" s="25">
        <v>4841.59</v>
      </c>
      <c r="S52" s="25">
        <v>4893.1400000000003</v>
      </c>
    </row>
    <row r="53" spans="1:19" x14ac:dyDescent="0.2">
      <c r="A53" s="27">
        <v>33</v>
      </c>
      <c r="B53" s="6" t="s">
        <v>40</v>
      </c>
      <c r="C53" s="6">
        <v>5</v>
      </c>
      <c r="D53" s="6">
        <v>0</v>
      </c>
      <c r="E53" s="6">
        <v>129</v>
      </c>
      <c r="F53" s="29">
        <f t="shared" si="1"/>
        <v>134</v>
      </c>
      <c r="H53" s="7">
        <v>58.75</v>
      </c>
      <c r="I53" s="7">
        <v>0</v>
      </c>
      <c r="J53" s="7">
        <v>70.58</v>
      </c>
      <c r="K53" s="7">
        <v>70.19</v>
      </c>
      <c r="M53" s="7">
        <v>231.5</v>
      </c>
      <c r="N53" s="7">
        <v>293.13330999999999</v>
      </c>
      <c r="O53" s="7">
        <v>291.0616</v>
      </c>
      <c r="Q53" s="25">
        <v>3912</v>
      </c>
      <c r="R53" s="25">
        <v>4303.75</v>
      </c>
      <c r="S53" s="25">
        <v>4290.58</v>
      </c>
    </row>
    <row r="54" spans="1:19" x14ac:dyDescent="0.2">
      <c r="A54" s="27">
        <v>34</v>
      </c>
      <c r="B54" s="6" t="s">
        <v>41</v>
      </c>
      <c r="C54" s="6">
        <v>0</v>
      </c>
      <c r="D54" s="6">
        <v>0</v>
      </c>
      <c r="E54" s="6">
        <v>61</v>
      </c>
      <c r="F54" s="29">
        <f t="shared" si="1"/>
        <v>61</v>
      </c>
      <c r="H54" s="7">
        <v>0</v>
      </c>
      <c r="I54" s="7">
        <v>0</v>
      </c>
      <c r="J54" s="7">
        <v>61.67</v>
      </c>
      <c r="K54" s="7">
        <v>61.67</v>
      </c>
      <c r="M54" s="7">
        <v>0</v>
      </c>
      <c r="N54" s="7">
        <v>194.25009</v>
      </c>
      <c r="O54" s="7">
        <v>194.25009</v>
      </c>
      <c r="Q54" s="7">
        <v>0</v>
      </c>
      <c r="R54" s="25">
        <v>3160.3</v>
      </c>
      <c r="S54" s="25">
        <v>3160.3</v>
      </c>
    </row>
    <row r="55" spans="1:19" x14ac:dyDescent="0.2">
      <c r="A55" s="27">
        <v>35</v>
      </c>
      <c r="B55" s="6" t="s">
        <v>42</v>
      </c>
      <c r="C55" s="6">
        <v>45</v>
      </c>
      <c r="D55" s="6">
        <v>0</v>
      </c>
      <c r="E55" s="6">
        <v>204</v>
      </c>
      <c r="F55" s="29">
        <f t="shared" si="1"/>
        <v>249</v>
      </c>
      <c r="H55" s="7">
        <v>79.45</v>
      </c>
      <c r="I55" s="7">
        <v>0</v>
      </c>
      <c r="J55" s="7">
        <v>72.38</v>
      </c>
      <c r="K55" s="7">
        <v>73.760000000000005</v>
      </c>
      <c r="M55" s="7">
        <v>418.18336999999997</v>
      </c>
      <c r="N55" s="7">
        <v>271.07123999999999</v>
      </c>
      <c r="O55" s="7">
        <v>299.96827000000002</v>
      </c>
      <c r="Q55" s="25">
        <v>5345.98</v>
      </c>
      <c r="R55" s="25">
        <v>3845.29</v>
      </c>
      <c r="S55" s="25">
        <v>4140.07</v>
      </c>
    </row>
    <row r="56" spans="1:19" x14ac:dyDescent="0.2">
      <c r="A56" s="27">
        <v>36</v>
      </c>
      <c r="B56" s="6" t="s">
        <v>43</v>
      </c>
      <c r="C56" s="6">
        <v>10</v>
      </c>
      <c r="D56" s="6">
        <v>0</v>
      </c>
      <c r="E56" s="6">
        <v>65</v>
      </c>
      <c r="F56" s="29">
        <f t="shared" si="1"/>
        <v>75</v>
      </c>
      <c r="H56" s="7">
        <v>72.3</v>
      </c>
      <c r="I56" s="7">
        <v>0</v>
      </c>
      <c r="J56" s="7">
        <v>81.28</v>
      </c>
      <c r="K56" s="7">
        <v>80</v>
      </c>
      <c r="M56" s="7">
        <v>478.38</v>
      </c>
      <c r="N56" s="7">
        <v>302.31108</v>
      </c>
      <c r="O56" s="7">
        <v>327.82830999999999</v>
      </c>
      <c r="Q56" s="25">
        <v>7012.29</v>
      </c>
      <c r="R56" s="25">
        <v>4005.24</v>
      </c>
      <c r="S56" s="25">
        <v>4441.04</v>
      </c>
    </row>
    <row r="57" spans="1:19" x14ac:dyDescent="0.2">
      <c r="A57" s="27">
        <v>37</v>
      </c>
      <c r="B57" s="6" t="s">
        <v>44</v>
      </c>
      <c r="C57" s="6">
        <v>45</v>
      </c>
      <c r="D57" s="6">
        <v>2</v>
      </c>
      <c r="E57" s="6">
        <v>201</v>
      </c>
      <c r="F57" s="29">
        <f t="shared" si="1"/>
        <v>248</v>
      </c>
      <c r="H57" s="7">
        <v>62.05</v>
      </c>
      <c r="I57" s="7">
        <v>79.5</v>
      </c>
      <c r="J57" s="7">
        <v>61.8</v>
      </c>
      <c r="K57" s="7">
        <v>62</v>
      </c>
      <c r="M57" s="7">
        <v>149.66279</v>
      </c>
      <c r="N57" s="7">
        <v>161.74779999999998</v>
      </c>
      <c r="O57" s="7">
        <v>159.39642000000001</v>
      </c>
      <c r="Q57" s="25">
        <v>2461.5700000000002</v>
      </c>
      <c r="R57" s="25">
        <v>2746.77</v>
      </c>
      <c r="S57" s="25">
        <v>2691.28</v>
      </c>
    </row>
    <row r="58" spans="1:19" x14ac:dyDescent="0.2">
      <c r="A58" s="27">
        <v>38</v>
      </c>
      <c r="B58" s="6" t="s">
        <v>45</v>
      </c>
      <c r="C58" s="6">
        <v>27</v>
      </c>
      <c r="D58" s="6">
        <v>1</v>
      </c>
      <c r="E58" s="6">
        <v>67</v>
      </c>
      <c r="F58" s="29">
        <f t="shared" si="1"/>
        <v>95</v>
      </c>
      <c r="H58" s="7">
        <v>59.71</v>
      </c>
      <c r="I58" s="7">
        <v>44</v>
      </c>
      <c r="J58" s="7">
        <v>63.11</v>
      </c>
      <c r="K58" s="7">
        <v>61.94</v>
      </c>
      <c r="M58" s="7">
        <v>174.1875</v>
      </c>
      <c r="N58" s="7">
        <v>178.91214000000002</v>
      </c>
      <c r="O58" s="7">
        <v>177.52932000000001</v>
      </c>
      <c r="Q58" s="25">
        <v>2961.46</v>
      </c>
      <c r="R58" s="25">
        <v>2891.93</v>
      </c>
      <c r="S58" s="25">
        <v>2912.28</v>
      </c>
    </row>
    <row r="59" spans="1:19" x14ac:dyDescent="0.2">
      <c r="A59" s="27">
        <v>39</v>
      </c>
      <c r="B59" s="6" t="s">
        <v>46</v>
      </c>
      <c r="C59" s="6">
        <v>24</v>
      </c>
      <c r="D59" s="6">
        <v>1</v>
      </c>
      <c r="E59" s="6">
        <v>25</v>
      </c>
      <c r="F59" s="29">
        <f t="shared" si="1"/>
        <v>50</v>
      </c>
      <c r="H59" s="7">
        <v>71.180000000000007</v>
      </c>
      <c r="I59" s="7">
        <v>67</v>
      </c>
      <c r="J59" s="7">
        <v>77.5</v>
      </c>
      <c r="K59" s="7">
        <v>74.69</v>
      </c>
      <c r="M59" s="7">
        <v>264.07646999999997</v>
      </c>
      <c r="N59" s="7">
        <v>249.83332999999999</v>
      </c>
      <c r="O59" s="7">
        <v>255.73901999999998</v>
      </c>
      <c r="Q59" s="25">
        <v>3720.31</v>
      </c>
      <c r="R59" s="25">
        <v>3252.67</v>
      </c>
      <c r="S59" s="25">
        <v>3446.57</v>
      </c>
    </row>
    <row r="60" spans="1:19" x14ac:dyDescent="0.2">
      <c r="A60" s="27">
        <v>40</v>
      </c>
      <c r="B60" s="6" t="s">
        <v>47</v>
      </c>
      <c r="C60" s="6">
        <v>2</v>
      </c>
      <c r="D60" s="6">
        <v>0</v>
      </c>
      <c r="E60" s="6">
        <v>25</v>
      </c>
      <c r="F60" s="29">
        <f t="shared" si="1"/>
        <v>27</v>
      </c>
      <c r="H60" s="7">
        <v>61.5</v>
      </c>
      <c r="I60" s="7">
        <v>0</v>
      </c>
      <c r="J60" s="7">
        <v>61.74</v>
      </c>
      <c r="K60" s="7">
        <v>61.72</v>
      </c>
      <c r="M60" s="7">
        <v>0</v>
      </c>
      <c r="N60" s="7">
        <v>186.50595000000001</v>
      </c>
      <c r="O60" s="7">
        <v>185.28804</v>
      </c>
      <c r="Q60" s="7">
        <v>0</v>
      </c>
      <c r="R60" s="25">
        <v>3061.34</v>
      </c>
      <c r="S60" s="25">
        <v>3040.74</v>
      </c>
    </row>
    <row r="61" spans="1:19" x14ac:dyDescent="0.2">
      <c r="A61" s="27">
        <v>41</v>
      </c>
      <c r="B61" s="6" t="s">
        <v>48</v>
      </c>
      <c r="C61" s="6">
        <v>2</v>
      </c>
      <c r="D61" s="6">
        <v>0</v>
      </c>
      <c r="E61" s="6">
        <v>21</v>
      </c>
      <c r="F61" s="29">
        <f t="shared" si="1"/>
        <v>23</v>
      </c>
      <c r="H61" s="7">
        <v>50</v>
      </c>
      <c r="I61" s="7">
        <v>0</v>
      </c>
      <c r="J61" s="7">
        <v>62.95</v>
      </c>
      <c r="K61" s="7">
        <v>62.3</v>
      </c>
      <c r="M61" s="7">
        <v>0</v>
      </c>
      <c r="N61" s="7">
        <v>239.5</v>
      </c>
      <c r="O61" s="7">
        <v>239.15789000000001</v>
      </c>
      <c r="Q61" s="7">
        <v>0</v>
      </c>
      <c r="R61" s="25">
        <v>3916.14</v>
      </c>
      <c r="S61" s="25">
        <v>3955.29</v>
      </c>
    </row>
    <row r="62" spans="1:19" x14ac:dyDescent="0.2">
      <c r="A62" s="27">
        <v>42</v>
      </c>
      <c r="B62" s="6" t="s">
        <v>49</v>
      </c>
      <c r="C62" s="6">
        <v>86</v>
      </c>
      <c r="D62" s="6">
        <v>0</v>
      </c>
      <c r="E62" s="6">
        <v>2</v>
      </c>
      <c r="F62" s="29">
        <f t="shared" si="1"/>
        <v>88</v>
      </c>
      <c r="H62" s="7">
        <v>89.29</v>
      </c>
      <c r="I62" s="7">
        <v>0</v>
      </c>
      <c r="J62" s="7">
        <v>81</v>
      </c>
      <c r="K62" s="7">
        <v>89.1</v>
      </c>
      <c r="M62" s="7">
        <v>370.69040000000001</v>
      </c>
      <c r="N62" s="7">
        <v>0</v>
      </c>
      <c r="O62" s="7">
        <v>369.13297999999998</v>
      </c>
      <c r="Q62" s="25">
        <v>4079.79</v>
      </c>
      <c r="R62" s="25">
        <v>0</v>
      </c>
      <c r="S62" s="25">
        <v>4053.43</v>
      </c>
    </row>
    <row r="63" spans="1:19" x14ac:dyDescent="0.2">
      <c r="A63" s="27">
        <v>43</v>
      </c>
      <c r="B63" s="6" t="s">
        <v>50</v>
      </c>
      <c r="C63" s="6">
        <v>20</v>
      </c>
      <c r="D63" s="6">
        <v>5</v>
      </c>
      <c r="E63" s="6">
        <v>141</v>
      </c>
      <c r="F63" s="29">
        <f t="shared" si="1"/>
        <v>166</v>
      </c>
      <c r="H63" s="7">
        <v>100.28</v>
      </c>
      <c r="I63" s="7">
        <v>70.75</v>
      </c>
      <c r="J63" s="7">
        <v>67.88</v>
      </c>
      <c r="K63" s="7">
        <v>72.040000000000006</v>
      </c>
      <c r="M63" s="7">
        <v>370.92778000000004</v>
      </c>
      <c r="N63" s="7">
        <v>256.89507000000003</v>
      </c>
      <c r="O63" s="7">
        <v>275.38686000000001</v>
      </c>
      <c r="Q63" s="25">
        <v>3924.66</v>
      </c>
      <c r="R63" s="25">
        <v>3779.82</v>
      </c>
      <c r="S63" s="25">
        <v>3803.31</v>
      </c>
    </row>
    <row r="64" spans="1:19" x14ac:dyDescent="0.2">
      <c r="A64" s="27">
        <v>44</v>
      </c>
      <c r="B64" s="6" t="s">
        <v>51</v>
      </c>
      <c r="C64" s="6">
        <v>3</v>
      </c>
      <c r="D64" s="6">
        <v>0</v>
      </c>
      <c r="E64" s="6">
        <v>150</v>
      </c>
      <c r="F64" s="29">
        <f t="shared" si="1"/>
        <v>153</v>
      </c>
      <c r="H64" s="7">
        <v>60</v>
      </c>
      <c r="I64" s="7">
        <v>0</v>
      </c>
      <c r="J64" s="7">
        <v>71.959999999999994</v>
      </c>
      <c r="K64" s="7">
        <v>71.87</v>
      </c>
      <c r="M64" s="7">
        <v>678</v>
      </c>
      <c r="N64" s="7">
        <v>241.37602999999999</v>
      </c>
      <c r="O64" s="7">
        <v>244.95491000000001</v>
      </c>
      <c r="Q64" s="25">
        <v>11300</v>
      </c>
      <c r="R64" s="25">
        <v>3427.18</v>
      </c>
      <c r="S64" s="25">
        <v>3491.71</v>
      </c>
    </row>
    <row r="65" spans="1:19" x14ac:dyDescent="0.2">
      <c r="A65" s="27">
        <v>45</v>
      </c>
      <c r="B65" s="6" t="s">
        <v>52</v>
      </c>
      <c r="C65" s="6">
        <v>2</v>
      </c>
      <c r="D65" s="6">
        <v>0</v>
      </c>
      <c r="E65" s="6">
        <v>137</v>
      </c>
      <c r="F65" s="29">
        <f t="shared" si="1"/>
        <v>139</v>
      </c>
      <c r="H65" s="7">
        <v>65.5</v>
      </c>
      <c r="I65" s="7">
        <v>0</v>
      </c>
      <c r="J65" s="7">
        <v>66.099999999999994</v>
      </c>
      <c r="K65" s="7">
        <v>66.09</v>
      </c>
      <c r="M65" s="7">
        <v>0</v>
      </c>
      <c r="N65" s="7">
        <v>201.89582999999999</v>
      </c>
      <c r="O65" s="7">
        <v>199.48947000000001</v>
      </c>
      <c r="Q65" s="7">
        <v>0</v>
      </c>
      <c r="R65" s="25">
        <v>3064.31</v>
      </c>
      <c r="S65" s="25">
        <v>3027.96</v>
      </c>
    </row>
    <row r="66" spans="1:19" x14ac:dyDescent="0.2">
      <c r="A66" s="27">
        <v>46</v>
      </c>
      <c r="B66" s="6" t="s">
        <v>53</v>
      </c>
      <c r="C66" s="6">
        <v>1</v>
      </c>
      <c r="D66" s="6">
        <v>0</v>
      </c>
      <c r="E66" s="6">
        <v>113</v>
      </c>
      <c r="F66" s="29">
        <f t="shared" si="1"/>
        <v>114</v>
      </c>
      <c r="H66" s="7">
        <v>47</v>
      </c>
      <c r="I66" s="7">
        <v>0</v>
      </c>
      <c r="J66" s="7">
        <v>62.63</v>
      </c>
      <c r="K66" s="7">
        <v>62.48</v>
      </c>
      <c r="M66" s="7">
        <v>0</v>
      </c>
      <c r="N66" s="7">
        <v>158.80169000000001</v>
      </c>
      <c r="O66" s="7">
        <v>159.905</v>
      </c>
      <c r="Q66" s="7">
        <v>0</v>
      </c>
      <c r="R66" s="25">
        <v>2546.7399999999998</v>
      </c>
      <c r="S66" s="25">
        <v>2584.08</v>
      </c>
    </row>
    <row r="67" spans="1:19" x14ac:dyDescent="0.2">
      <c r="A67" s="27">
        <v>47</v>
      </c>
      <c r="B67" s="6" t="s">
        <v>54</v>
      </c>
      <c r="C67" s="6">
        <v>0</v>
      </c>
      <c r="D67" s="6">
        <v>0</v>
      </c>
      <c r="E67" s="6">
        <v>0</v>
      </c>
      <c r="F67" s="29">
        <f t="shared" si="1"/>
        <v>0</v>
      </c>
      <c r="H67" s="7">
        <v>0</v>
      </c>
      <c r="I67" s="7">
        <v>0</v>
      </c>
      <c r="J67" s="7">
        <v>0</v>
      </c>
      <c r="K67" s="7">
        <v>0</v>
      </c>
      <c r="M67" s="7">
        <v>0</v>
      </c>
      <c r="N67" s="7">
        <v>0</v>
      </c>
      <c r="O67" s="7">
        <v>0</v>
      </c>
      <c r="Q67" s="7">
        <v>0</v>
      </c>
      <c r="R67" s="25">
        <v>0</v>
      </c>
      <c r="S67" s="25">
        <v>0</v>
      </c>
    </row>
    <row r="68" spans="1:19" x14ac:dyDescent="0.2">
      <c r="A68" s="27">
        <v>48</v>
      </c>
      <c r="B68" s="6" t="s">
        <v>55</v>
      </c>
      <c r="C68" s="6">
        <v>0</v>
      </c>
      <c r="D68" s="6">
        <v>0</v>
      </c>
      <c r="E68" s="6">
        <v>73</v>
      </c>
      <c r="F68" s="29">
        <f t="shared" si="1"/>
        <v>73</v>
      </c>
      <c r="H68" s="7">
        <v>0</v>
      </c>
      <c r="I68" s="7">
        <v>0</v>
      </c>
      <c r="J68" s="7">
        <v>73.36</v>
      </c>
      <c r="K68" s="7">
        <v>73.36</v>
      </c>
      <c r="M68" s="7">
        <v>0</v>
      </c>
      <c r="N68" s="7">
        <v>208.75378000000001</v>
      </c>
      <c r="O68" s="7">
        <v>208.75378000000001</v>
      </c>
      <c r="Q68" s="7">
        <v>0</v>
      </c>
      <c r="R68" s="25">
        <v>2866.7</v>
      </c>
      <c r="S68" s="25">
        <v>2866.7</v>
      </c>
    </row>
    <row r="69" spans="1:19" x14ac:dyDescent="0.2">
      <c r="A69" s="27">
        <v>49</v>
      </c>
      <c r="B69" s="6" t="s">
        <v>56</v>
      </c>
      <c r="C69" s="6">
        <v>0</v>
      </c>
      <c r="D69" s="6">
        <v>0</v>
      </c>
      <c r="E69" s="6">
        <v>18</v>
      </c>
      <c r="F69" s="29">
        <f t="shared" si="1"/>
        <v>18</v>
      </c>
      <c r="H69" s="7">
        <v>0</v>
      </c>
      <c r="I69" s="7">
        <v>0</v>
      </c>
      <c r="J69" s="7">
        <v>68.790000000000006</v>
      </c>
      <c r="K69" s="7">
        <v>68.790000000000006</v>
      </c>
      <c r="M69" s="7">
        <v>0</v>
      </c>
      <c r="N69" s="7">
        <v>181.78570999999999</v>
      </c>
      <c r="O69" s="7">
        <v>181.78570999999999</v>
      </c>
      <c r="Q69" s="7">
        <v>0</v>
      </c>
      <c r="R69" s="25">
        <v>2834.72</v>
      </c>
      <c r="S69" s="25">
        <v>2834.72</v>
      </c>
    </row>
    <row r="70" spans="1:19" x14ac:dyDescent="0.2">
      <c r="A70" s="27">
        <v>50</v>
      </c>
      <c r="B70" s="6" t="s">
        <v>57</v>
      </c>
      <c r="C70" s="6">
        <v>0</v>
      </c>
      <c r="D70" s="6">
        <v>0</v>
      </c>
      <c r="E70" s="6">
        <v>125</v>
      </c>
      <c r="F70" s="29">
        <f t="shared" si="1"/>
        <v>125</v>
      </c>
      <c r="H70" s="7">
        <v>0</v>
      </c>
      <c r="I70" s="7">
        <v>0</v>
      </c>
      <c r="J70" s="7">
        <v>59.09</v>
      </c>
      <c r="K70" s="7">
        <v>59.09</v>
      </c>
      <c r="M70" s="7">
        <v>0</v>
      </c>
      <c r="N70" s="7">
        <v>132.37200000000001</v>
      </c>
      <c r="O70" s="7">
        <v>132.37200000000001</v>
      </c>
      <c r="Q70" s="7">
        <v>0</v>
      </c>
      <c r="R70" s="25">
        <v>2335.77</v>
      </c>
      <c r="S70" s="25">
        <v>2335.77</v>
      </c>
    </row>
    <row r="71" spans="1:19" x14ac:dyDescent="0.2">
      <c r="A71" s="27">
        <v>51</v>
      </c>
      <c r="B71" s="6" t="s">
        <v>58</v>
      </c>
      <c r="C71" s="6">
        <v>1</v>
      </c>
      <c r="D71" s="6">
        <v>0</v>
      </c>
      <c r="E71" s="6">
        <v>95</v>
      </c>
      <c r="F71" s="29">
        <f t="shared" si="1"/>
        <v>96</v>
      </c>
      <c r="H71" s="7">
        <v>66</v>
      </c>
      <c r="I71" s="7">
        <v>0</v>
      </c>
      <c r="J71" s="7">
        <v>58.92</v>
      </c>
      <c r="K71" s="7">
        <v>59</v>
      </c>
      <c r="M71" s="7">
        <v>0</v>
      </c>
      <c r="N71" s="7">
        <v>160.67147</v>
      </c>
      <c r="O71" s="7">
        <v>161.26985000000002</v>
      </c>
      <c r="Q71" s="7">
        <v>0</v>
      </c>
      <c r="R71" s="25">
        <v>2678.13</v>
      </c>
      <c r="S71" s="25">
        <v>2681.66</v>
      </c>
    </row>
    <row r="72" spans="1:19" x14ac:dyDescent="0.2">
      <c r="A72" s="27">
        <v>52</v>
      </c>
      <c r="B72" s="6" t="s">
        <v>59</v>
      </c>
      <c r="C72" s="6">
        <v>5</v>
      </c>
      <c r="D72" s="6">
        <v>0</v>
      </c>
      <c r="E72" s="6">
        <v>197</v>
      </c>
      <c r="F72" s="29">
        <f t="shared" si="1"/>
        <v>202</v>
      </c>
      <c r="H72" s="7">
        <v>48.5</v>
      </c>
      <c r="I72" s="7">
        <v>0</v>
      </c>
      <c r="J72" s="7">
        <v>60.45</v>
      </c>
      <c r="K72" s="7">
        <v>60.31</v>
      </c>
      <c r="M72" s="7">
        <v>182.5</v>
      </c>
      <c r="N72" s="7">
        <v>165.32882000000001</v>
      </c>
      <c r="O72" s="7">
        <v>165.55328</v>
      </c>
      <c r="Q72" s="25">
        <v>3739.36</v>
      </c>
      <c r="R72" s="25">
        <v>2797.27</v>
      </c>
      <c r="S72" s="25">
        <v>2809.58</v>
      </c>
    </row>
    <row r="73" spans="1:19" x14ac:dyDescent="0.2">
      <c r="A73" s="27">
        <v>53</v>
      </c>
      <c r="B73" s="6" t="s">
        <v>60</v>
      </c>
      <c r="C73" s="6">
        <v>0</v>
      </c>
      <c r="D73" s="6">
        <v>0</v>
      </c>
      <c r="E73" s="6">
        <v>66</v>
      </c>
      <c r="F73" s="29">
        <f t="shared" si="1"/>
        <v>66</v>
      </c>
      <c r="H73" s="7">
        <v>0</v>
      </c>
      <c r="I73" s="7">
        <v>0</v>
      </c>
      <c r="J73" s="7">
        <v>61.67</v>
      </c>
      <c r="K73" s="7">
        <v>61.67</v>
      </c>
      <c r="M73" s="7">
        <v>0</v>
      </c>
      <c r="N73" s="7">
        <v>131.01499999999999</v>
      </c>
      <c r="O73" s="7">
        <v>131.01499999999999</v>
      </c>
      <c r="Q73" s="7">
        <v>0</v>
      </c>
      <c r="R73" s="25">
        <v>2217.8000000000002</v>
      </c>
      <c r="S73" s="25">
        <v>2217.8000000000002</v>
      </c>
    </row>
    <row r="74" spans="1:19" x14ac:dyDescent="0.2">
      <c r="A74" s="27">
        <v>54</v>
      </c>
      <c r="B74" s="6" t="s">
        <v>61</v>
      </c>
      <c r="C74" s="6">
        <v>0</v>
      </c>
      <c r="D74" s="6">
        <v>0</v>
      </c>
      <c r="E74" s="6">
        <v>9</v>
      </c>
      <c r="F74" s="29">
        <f t="shared" si="1"/>
        <v>9</v>
      </c>
      <c r="H74" s="7">
        <v>0</v>
      </c>
      <c r="I74" s="7">
        <v>0</v>
      </c>
      <c r="J74" s="7">
        <v>101.63</v>
      </c>
      <c r="K74" s="7">
        <v>101.63</v>
      </c>
      <c r="M74" s="7">
        <v>0</v>
      </c>
      <c r="N74" s="7">
        <v>151.9</v>
      </c>
      <c r="O74" s="7">
        <v>151.9</v>
      </c>
      <c r="Q74" s="7">
        <v>0</v>
      </c>
      <c r="R74" s="25">
        <v>1472.24</v>
      </c>
      <c r="S74" s="25">
        <v>1472.24</v>
      </c>
    </row>
    <row r="75" spans="1:19" x14ac:dyDescent="0.2">
      <c r="A75" s="27">
        <v>55</v>
      </c>
      <c r="B75" s="6" t="s">
        <v>62</v>
      </c>
      <c r="C75" s="6">
        <v>0</v>
      </c>
      <c r="D75" s="6">
        <v>0</v>
      </c>
      <c r="E75" s="6">
        <v>120</v>
      </c>
      <c r="F75" s="29">
        <f t="shared" si="1"/>
        <v>120</v>
      </c>
      <c r="H75" s="7">
        <v>0</v>
      </c>
      <c r="I75" s="7">
        <v>0</v>
      </c>
      <c r="J75" s="7">
        <v>59.23</v>
      </c>
      <c r="K75" s="7">
        <v>59.23</v>
      </c>
      <c r="M75" s="7">
        <v>0</v>
      </c>
      <c r="N75" s="7">
        <v>111.27383999999999</v>
      </c>
      <c r="O75" s="7">
        <v>111.27383999999999</v>
      </c>
      <c r="Q75" s="7">
        <v>0</v>
      </c>
      <c r="R75" s="25">
        <v>1855.26</v>
      </c>
      <c r="S75" s="25">
        <v>1855.26</v>
      </c>
    </row>
    <row r="76" spans="1:19" x14ac:dyDescent="0.2">
      <c r="A76" s="27">
        <v>56</v>
      </c>
      <c r="B76" s="6" t="s">
        <v>80</v>
      </c>
      <c r="C76" s="6">
        <v>0</v>
      </c>
      <c r="D76" s="6">
        <v>0</v>
      </c>
      <c r="E76" s="6">
        <v>1</v>
      </c>
      <c r="F76" s="29">
        <f t="shared" si="1"/>
        <v>1</v>
      </c>
      <c r="H76" s="7">
        <v>0</v>
      </c>
      <c r="I76" s="7">
        <v>0</v>
      </c>
      <c r="J76" s="7">
        <v>71</v>
      </c>
      <c r="K76" s="7">
        <v>71</v>
      </c>
      <c r="M76" s="7">
        <v>0</v>
      </c>
      <c r="N76" s="7">
        <v>0</v>
      </c>
      <c r="O76" s="7">
        <v>0</v>
      </c>
      <c r="Q76" s="7">
        <v>0</v>
      </c>
      <c r="R76" s="25">
        <v>0</v>
      </c>
      <c r="S76" s="25">
        <v>0</v>
      </c>
    </row>
    <row r="77" spans="1:19" x14ac:dyDescent="0.2">
      <c r="A77" s="27">
        <v>57</v>
      </c>
      <c r="B77" s="6" t="s">
        <v>63</v>
      </c>
      <c r="C77" s="6">
        <v>12</v>
      </c>
      <c r="D77" s="6">
        <v>0</v>
      </c>
      <c r="E77" s="6">
        <v>113</v>
      </c>
      <c r="F77" s="29">
        <f t="shared" si="1"/>
        <v>125</v>
      </c>
      <c r="H77" s="7">
        <v>61.25</v>
      </c>
      <c r="I77" s="7">
        <v>0</v>
      </c>
      <c r="J77" s="7">
        <v>58.96</v>
      </c>
      <c r="K77" s="7">
        <v>59.19</v>
      </c>
      <c r="M77" s="7">
        <v>233.54820999999998</v>
      </c>
      <c r="N77" s="7">
        <v>119.09473</v>
      </c>
      <c r="O77" s="7">
        <v>137.40729000000002</v>
      </c>
      <c r="Q77" s="25">
        <v>3902.36</v>
      </c>
      <c r="R77" s="25">
        <v>2075.5100000000002</v>
      </c>
      <c r="S77" s="25">
        <v>2367.81</v>
      </c>
    </row>
    <row r="78" spans="1:19" x14ac:dyDescent="0.2">
      <c r="A78" s="27">
        <v>58</v>
      </c>
      <c r="B78" s="6" t="s">
        <v>64</v>
      </c>
      <c r="C78" s="6">
        <v>0</v>
      </c>
      <c r="D78" s="6">
        <v>0</v>
      </c>
      <c r="E78" s="6">
        <v>21</v>
      </c>
      <c r="F78" s="29">
        <f t="shared" si="1"/>
        <v>21</v>
      </c>
      <c r="H78" s="7">
        <v>0</v>
      </c>
      <c r="I78" s="7">
        <v>0</v>
      </c>
      <c r="J78" s="7">
        <v>71.17</v>
      </c>
      <c r="K78" s="7">
        <v>71.17</v>
      </c>
      <c r="M78" s="7">
        <v>0</v>
      </c>
      <c r="N78" s="7">
        <v>0</v>
      </c>
      <c r="O78" s="7">
        <v>0</v>
      </c>
      <c r="Q78" s="7">
        <v>0</v>
      </c>
      <c r="R78" s="25">
        <v>0</v>
      </c>
      <c r="S78" s="25">
        <v>0</v>
      </c>
    </row>
    <row r="79" spans="1:19" x14ac:dyDescent="0.2">
      <c r="A79" s="27">
        <v>59</v>
      </c>
      <c r="B79" s="6" t="s">
        <v>65</v>
      </c>
      <c r="C79" s="6">
        <v>11</v>
      </c>
      <c r="D79" s="6">
        <v>6</v>
      </c>
      <c r="E79" s="6">
        <v>80</v>
      </c>
      <c r="F79" s="29">
        <f t="shared" si="1"/>
        <v>97</v>
      </c>
      <c r="H79" s="7">
        <v>81.900000000000006</v>
      </c>
      <c r="I79" s="7">
        <v>76.67</v>
      </c>
      <c r="J79" s="7">
        <v>69.38</v>
      </c>
      <c r="K79" s="7">
        <v>71.22</v>
      </c>
      <c r="M79" s="7">
        <v>151.05376000000001</v>
      </c>
      <c r="N79" s="7">
        <v>172.21802</v>
      </c>
      <c r="O79" s="7">
        <v>169.66810999999998</v>
      </c>
      <c r="Q79" s="25">
        <v>1804.12</v>
      </c>
      <c r="R79" s="25">
        <v>2423.75</v>
      </c>
      <c r="S79" s="25">
        <v>2349.1</v>
      </c>
    </row>
    <row r="80" spans="1:19" x14ac:dyDescent="0.2">
      <c r="A80" s="27">
        <v>60</v>
      </c>
      <c r="B80" s="6" t="s">
        <v>66</v>
      </c>
      <c r="C80" s="6">
        <v>11</v>
      </c>
      <c r="D80" s="6">
        <v>0</v>
      </c>
      <c r="E80" s="6">
        <v>286</v>
      </c>
      <c r="F80" s="29">
        <f t="shared" si="1"/>
        <v>297</v>
      </c>
      <c r="H80" s="7">
        <v>94.55</v>
      </c>
      <c r="I80" s="7">
        <v>0</v>
      </c>
      <c r="J80" s="7">
        <v>75.540000000000006</v>
      </c>
      <c r="K80" s="7">
        <v>76.290000000000006</v>
      </c>
      <c r="M80" s="7">
        <v>452.36372999999998</v>
      </c>
      <c r="N80" s="7">
        <v>277.13797999999997</v>
      </c>
      <c r="O80" s="7">
        <v>286.82383000000004</v>
      </c>
      <c r="Q80" s="25">
        <v>4803.6899999999996</v>
      </c>
      <c r="R80" s="25">
        <v>3667.96</v>
      </c>
      <c r="S80" s="25">
        <v>3730.74</v>
      </c>
    </row>
    <row r="81" spans="1:19" x14ac:dyDescent="0.2">
      <c r="A81" s="27">
        <v>61</v>
      </c>
      <c r="B81" s="6" t="s">
        <v>67</v>
      </c>
      <c r="C81" s="6">
        <v>0</v>
      </c>
      <c r="D81" s="6">
        <v>0</v>
      </c>
      <c r="E81" s="6">
        <v>150</v>
      </c>
      <c r="F81" s="29">
        <f t="shared" si="1"/>
        <v>150</v>
      </c>
      <c r="H81" s="7">
        <v>0</v>
      </c>
      <c r="I81" s="7">
        <v>0</v>
      </c>
      <c r="J81" s="7">
        <v>69.209999999999994</v>
      </c>
      <c r="K81" s="7">
        <v>69.209999999999994</v>
      </c>
      <c r="M81" s="7">
        <v>0</v>
      </c>
      <c r="N81" s="7">
        <v>244.23957000000001</v>
      </c>
      <c r="O81" s="7">
        <v>244.23957000000001</v>
      </c>
      <c r="Q81" s="7">
        <v>0</v>
      </c>
      <c r="R81" s="25">
        <v>3641.97</v>
      </c>
      <c r="S81" s="25">
        <v>3641.97</v>
      </c>
    </row>
    <row r="82" spans="1:19" x14ac:dyDescent="0.2">
      <c r="A82" s="27">
        <v>62</v>
      </c>
      <c r="B82" s="6" t="s">
        <v>68</v>
      </c>
      <c r="C82" s="6">
        <v>5</v>
      </c>
      <c r="D82" s="6">
        <v>0</v>
      </c>
      <c r="E82" s="6">
        <v>86</v>
      </c>
      <c r="F82" s="29">
        <f t="shared" si="1"/>
        <v>91</v>
      </c>
      <c r="H82" s="7">
        <v>104.8</v>
      </c>
      <c r="I82" s="7">
        <v>0</v>
      </c>
      <c r="J82" s="7">
        <v>73.08</v>
      </c>
      <c r="K82" s="7">
        <v>74.86</v>
      </c>
      <c r="M82" s="7">
        <v>429.30500000000001</v>
      </c>
      <c r="N82" s="7">
        <v>260.60898000000003</v>
      </c>
      <c r="O82" s="7">
        <v>272.83332999999999</v>
      </c>
      <c r="Q82" s="25">
        <v>4171.1400000000003</v>
      </c>
      <c r="R82" s="25">
        <v>3612.08</v>
      </c>
      <c r="S82" s="25">
        <v>3652.59</v>
      </c>
    </row>
    <row r="83" spans="1:19" x14ac:dyDescent="0.2">
      <c r="A83" s="27">
        <v>63</v>
      </c>
      <c r="B83" s="1" t="s">
        <v>69</v>
      </c>
      <c r="C83" s="6">
        <v>3</v>
      </c>
      <c r="D83" s="6">
        <v>0</v>
      </c>
      <c r="E83" s="6">
        <v>159</v>
      </c>
      <c r="F83" s="29">
        <f t="shared" si="1"/>
        <v>162</v>
      </c>
      <c r="H83" s="7">
        <v>83</v>
      </c>
      <c r="I83" s="7">
        <v>0</v>
      </c>
      <c r="J83" s="7">
        <v>76.84</v>
      </c>
      <c r="K83" s="7">
        <v>76.92</v>
      </c>
      <c r="M83" s="7">
        <v>413</v>
      </c>
      <c r="N83" s="7">
        <v>316.42051000000004</v>
      </c>
      <c r="O83" s="7">
        <v>317.96578000000005</v>
      </c>
      <c r="Q83" s="25">
        <v>4988.95</v>
      </c>
      <c r="R83" s="25">
        <v>4073.8</v>
      </c>
      <c r="S83" s="25">
        <v>4088.44</v>
      </c>
    </row>
    <row r="84" spans="1:19" x14ac:dyDescent="0.2">
      <c r="A84" s="27">
        <v>64</v>
      </c>
      <c r="B84" s="1" t="s">
        <v>70</v>
      </c>
      <c r="C84" s="6">
        <v>2</v>
      </c>
      <c r="D84" s="6">
        <v>0</v>
      </c>
      <c r="E84" s="6">
        <v>217</v>
      </c>
      <c r="F84" s="29">
        <f t="shared" si="1"/>
        <v>219</v>
      </c>
      <c r="H84" s="7">
        <v>62</v>
      </c>
      <c r="I84" s="7">
        <v>0</v>
      </c>
      <c r="J84" s="7">
        <v>73.28</v>
      </c>
      <c r="K84" s="7">
        <v>73.17</v>
      </c>
      <c r="M84" s="7">
        <v>0</v>
      </c>
      <c r="N84" s="7">
        <v>294.28417999999999</v>
      </c>
      <c r="O84" s="7">
        <v>294.57119</v>
      </c>
      <c r="Q84" s="7">
        <v>0</v>
      </c>
      <c r="R84" s="25">
        <v>4130.12</v>
      </c>
      <c r="S84" s="25">
        <v>4140.3500000000004</v>
      </c>
    </row>
    <row r="85" spans="1:19" x14ac:dyDescent="0.2">
      <c r="A85" s="27">
        <v>65</v>
      </c>
      <c r="B85" s="1" t="s">
        <v>71</v>
      </c>
      <c r="C85" s="6">
        <v>11</v>
      </c>
      <c r="D85" s="6">
        <v>0</v>
      </c>
      <c r="E85" s="6">
        <v>142</v>
      </c>
      <c r="F85" s="29">
        <f t="shared" ref="F85:F93" si="2">SUM(C85:E85)</f>
        <v>153</v>
      </c>
      <c r="H85" s="7">
        <v>61.27</v>
      </c>
      <c r="I85" s="7">
        <v>0</v>
      </c>
      <c r="J85" s="7">
        <v>71.61</v>
      </c>
      <c r="K85" s="7">
        <v>70.81</v>
      </c>
      <c r="M85" s="7">
        <v>264.90909000000005</v>
      </c>
      <c r="N85" s="7">
        <v>278.31259999999997</v>
      </c>
      <c r="O85" s="7">
        <v>276.37261999999998</v>
      </c>
      <c r="Q85" s="25">
        <v>4302.16</v>
      </c>
      <c r="R85" s="25">
        <v>4080.76</v>
      </c>
      <c r="S85" s="25">
        <v>4112.8</v>
      </c>
    </row>
    <row r="86" spans="1:19" x14ac:dyDescent="0.2">
      <c r="A86" s="27">
        <v>66</v>
      </c>
      <c r="B86" s="1" t="s">
        <v>72</v>
      </c>
      <c r="C86" s="6">
        <v>11</v>
      </c>
      <c r="D86" s="6">
        <v>1</v>
      </c>
      <c r="E86" s="6">
        <v>99</v>
      </c>
      <c r="F86" s="29">
        <f t="shared" si="2"/>
        <v>111</v>
      </c>
      <c r="H86" s="7">
        <v>102.73</v>
      </c>
      <c r="I86" s="7">
        <v>56</v>
      </c>
      <c r="J86" s="7">
        <v>77.12</v>
      </c>
      <c r="K86" s="7">
        <v>79.650000000000006</v>
      </c>
      <c r="M86" s="7">
        <v>664.6</v>
      </c>
      <c r="N86" s="7">
        <v>371.12540999999999</v>
      </c>
      <c r="O86" s="7">
        <v>403.7337</v>
      </c>
      <c r="Q86" s="25">
        <v>6292.9</v>
      </c>
      <c r="R86" s="25">
        <v>4805.82</v>
      </c>
      <c r="S86" s="25">
        <v>4971.05</v>
      </c>
    </row>
    <row r="87" spans="1:19" x14ac:dyDescent="0.2">
      <c r="A87" s="27">
        <v>67</v>
      </c>
      <c r="B87" s="1" t="s">
        <v>73</v>
      </c>
      <c r="C87" s="6">
        <v>1</v>
      </c>
      <c r="D87" s="6">
        <v>0</v>
      </c>
      <c r="E87" s="6">
        <v>37</v>
      </c>
      <c r="F87" s="29">
        <f t="shared" si="2"/>
        <v>38</v>
      </c>
      <c r="H87" s="7">
        <v>85</v>
      </c>
      <c r="I87" s="7">
        <v>0</v>
      </c>
      <c r="J87" s="7">
        <v>103.17</v>
      </c>
      <c r="K87" s="7">
        <v>102.67</v>
      </c>
      <c r="M87" s="7">
        <v>0</v>
      </c>
      <c r="N87" s="7">
        <v>552.67350999999996</v>
      </c>
      <c r="O87" s="7">
        <v>540.65480000000002</v>
      </c>
      <c r="Q87" s="7">
        <v>0</v>
      </c>
      <c r="R87" s="25">
        <v>5436.91</v>
      </c>
      <c r="S87" s="25">
        <v>5325.1</v>
      </c>
    </row>
    <row r="88" spans="1:19" x14ac:dyDescent="0.2">
      <c r="A88" s="27">
        <v>68</v>
      </c>
      <c r="B88" s="1" t="s">
        <v>74</v>
      </c>
      <c r="C88" s="6">
        <v>55</v>
      </c>
      <c r="D88" s="6">
        <v>24</v>
      </c>
      <c r="E88" s="6">
        <v>195</v>
      </c>
      <c r="F88" s="29">
        <f t="shared" si="2"/>
        <v>274</v>
      </c>
      <c r="H88" s="7">
        <v>61.92</v>
      </c>
      <c r="I88" s="7">
        <v>57.5</v>
      </c>
      <c r="J88" s="7">
        <v>76.239999999999995</v>
      </c>
      <c r="K88" s="7">
        <v>71.790000000000006</v>
      </c>
      <c r="M88" s="7">
        <v>402.68870000000004</v>
      </c>
      <c r="N88" s="7">
        <v>380.99248999999998</v>
      </c>
      <c r="O88" s="7">
        <v>385.94895000000002</v>
      </c>
      <c r="Q88" s="25">
        <v>6521.01</v>
      </c>
      <c r="R88" s="25">
        <v>5054.58</v>
      </c>
      <c r="S88" s="25">
        <v>5389.58</v>
      </c>
    </row>
    <row r="89" spans="1:19" x14ac:dyDescent="0.2">
      <c r="A89" s="27">
        <v>69</v>
      </c>
      <c r="B89" s="1" t="s">
        <v>75</v>
      </c>
      <c r="C89" s="6">
        <v>34</v>
      </c>
      <c r="D89" s="6">
        <v>3</v>
      </c>
      <c r="E89" s="6">
        <v>99</v>
      </c>
      <c r="F89" s="29">
        <f t="shared" si="2"/>
        <v>136</v>
      </c>
      <c r="H89" s="7">
        <v>71</v>
      </c>
      <c r="I89" s="7">
        <v>69.33</v>
      </c>
      <c r="J89" s="7">
        <v>101.05</v>
      </c>
      <c r="K89" s="7">
        <v>92.73</v>
      </c>
      <c r="M89" s="7">
        <v>437.67187999999999</v>
      </c>
      <c r="N89" s="7">
        <v>674.29741999999999</v>
      </c>
      <c r="O89" s="7">
        <v>609.02141000000006</v>
      </c>
      <c r="Q89" s="25">
        <v>6186.67</v>
      </c>
      <c r="R89" s="25">
        <v>6496.23</v>
      </c>
      <c r="S89" s="25">
        <v>6410.83</v>
      </c>
    </row>
    <row r="90" spans="1:19" x14ac:dyDescent="0.2">
      <c r="A90" s="27">
        <v>70</v>
      </c>
      <c r="B90" s="1" t="s">
        <v>76</v>
      </c>
      <c r="C90" s="6">
        <v>20</v>
      </c>
      <c r="D90" s="6">
        <v>2</v>
      </c>
      <c r="E90" s="6">
        <v>198</v>
      </c>
      <c r="F90" s="29">
        <f t="shared" si="2"/>
        <v>220</v>
      </c>
      <c r="H90" s="7">
        <v>83</v>
      </c>
      <c r="I90" s="7">
        <v>71.5</v>
      </c>
      <c r="J90" s="7">
        <v>60.27</v>
      </c>
      <c r="K90" s="7">
        <v>62.56</v>
      </c>
      <c r="M90" s="7">
        <v>409.05273999999997</v>
      </c>
      <c r="N90" s="7">
        <v>150.99639999999999</v>
      </c>
      <c r="O90" s="7">
        <v>178.85475</v>
      </c>
      <c r="Q90" s="25">
        <v>3444.98</v>
      </c>
      <c r="R90" s="25">
        <v>2354.8200000000002</v>
      </c>
      <c r="S90" s="25">
        <v>2472.5100000000002</v>
      </c>
    </row>
    <row r="91" spans="1:19" x14ac:dyDescent="0.2">
      <c r="A91" s="27">
        <v>71</v>
      </c>
      <c r="B91" s="1" t="s">
        <v>77</v>
      </c>
      <c r="C91" s="6">
        <v>13</v>
      </c>
      <c r="D91" s="6">
        <v>7</v>
      </c>
      <c r="E91" s="6">
        <v>91</v>
      </c>
      <c r="F91" s="29">
        <f t="shared" si="2"/>
        <v>111</v>
      </c>
      <c r="H91" s="7">
        <v>62.38</v>
      </c>
      <c r="I91" s="7">
        <v>64.67</v>
      </c>
      <c r="J91" s="7">
        <v>72.849999999999994</v>
      </c>
      <c r="K91" s="7">
        <v>71.069999999999993</v>
      </c>
      <c r="M91" s="7">
        <v>230.96154000000001</v>
      </c>
      <c r="N91" s="7">
        <v>301.00130000000001</v>
      </c>
      <c r="O91" s="7">
        <v>289.76034999999996</v>
      </c>
      <c r="Q91" s="25">
        <v>3679.58</v>
      </c>
      <c r="R91" s="25">
        <v>4172.41</v>
      </c>
      <c r="S91" s="25">
        <v>4093.31</v>
      </c>
    </row>
    <row r="92" spans="1:19" x14ac:dyDescent="0.2">
      <c r="A92" s="27">
        <v>72</v>
      </c>
      <c r="B92" s="1" t="s">
        <v>78</v>
      </c>
      <c r="C92" s="6">
        <v>1</v>
      </c>
      <c r="D92" s="6">
        <v>0</v>
      </c>
      <c r="E92" s="6">
        <v>151</v>
      </c>
      <c r="F92" s="29">
        <f t="shared" si="2"/>
        <v>152</v>
      </c>
      <c r="H92" s="7">
        <v>42</v>
      </c>
      <c r="I92" s="7">
        <v>0</v>
      </c>
      <c r="J92" s="7">
        <v>71.040000000000006</v>
      </c>
      <c r="K92" s="7">
        <v>70.84</v>
      </c>
      <c r="M92" s="7">
        <v>0</v>
      </c>
      <c r="N92" s="7">
        <v>230.41825</v>
      </c>
      <c r="O92" s="7">
        <v>229.43879000000001</v>
      </c>
      <c r="Q92" s="7">
        <v>0</v>
      </c>
      <c r="R92" s="25">
        <v>3224.24</v>
      </c>
      <c r="S92" s="25">
        <v>3230.3</v>
      </c>
    </row>
    <row r="93" spans="1:19" x14ac:dyDescent="0.2">
      <c r="A93" s="28">
        <v>73</v>
      </c>
      <c r="B93" s="16" t="s">
        <v>79</v>
      </c>
      <c r="C93" s="18">
        <v>3</v>
      </c>
      <c r="D93" s="18">
        <v>1</v>
      </c>
      <c r="E93" s="18">
        <v>170</v>
      </c>
      <c r="F93" s="24">
        <f t="shared" si="2"/>
        <v>174</v>
      </c>
      <c r="G93" s="16"/>
      <c r="H93" s="17">
        <v>63.33</v>
      </c>
      <c r="I93" s="17">
        <v>85</v>
      </c>
      <c r="J93" s="17">
        <v>70.459999999999994</v>
      </c>
      <c r="K93" s="17">
        <v>70.42</v>
      </c>
      <c r="L93" s="17"/>
      <c r="M93" s="17">
        <v>220</v>
      </c>
      <c r="N93" s="17">
        <v>183.65434999999999</v>
      </c>
      <c r="O93" s="17">
        <v>184.81432000000001</v>
      </c>
      <c r="P93" s="17"/>
      <c r="Q93" s="26">
        <v>3492.06</v>
      </c>
      <c r="R93" s="26">
        <v>2685.89</v>
      </c>
      <c r="S93" s="26">
        <v>2711.62</v>
      </c>
    </row>
    <row r="95" spans="1:19" x14ac:dyDescent="0.2">
      <c r="B95" s="35" t="s">
        <v>95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FEDC-29D4-4850-BC4A-BE4B7FDDE773}">
  <dimension ref="A1:S95"/>
  <sheetViews>
    <sheetView workbookViewId="0"/>
  </sheetViews>
  <sheetFormatPr defaultColWidth="11.42578125" defaultRowHeight="12" x14ac:dyDescent="0.2"/>
  <cols>
    <col min="1" max="1" width="4.85546875" style="1" customWidth="1"/>
    <col min="2" max="2" width="35.7109375" style="1" customWidth="1"/>
    <col min="3" max="6" width="10.7109375" style="6" customWidth="1"/>
    <col min="7" max="7" width="2.7109375" style="1" customWidth="1"/>
    <col min="8" max="11" width="10.7109375" style="7" customWidth="1"/>
    <col min="12" max="12" width="2.7109375" style="7" customWidth="1"/>
    <col min="13" max="15" width="10.7109375" style="7" customWidth="1"/>
    <col min="16" max="16" width="2.7109375" style="7" customWidth="1"/>
    <col min="17" max="19" width="10.7109375" style="7" customWidth="1"/>
    <col min="20" max="16384" width="11.42578125" style="1"/>
  </cols>
  <sheetData>
    <row r="1" spans="1:19" ht="15" x14ac:dyDescent="0.25">
      <c r="A1" s="2" t="s">
        <v>93</v>
      </c>
    </row>
    <row r="2" spans="1:19" ht="12.75" x14ac:dyDescent="0.2">
      <c r="A2" s="20" t="s">
        <v>99</v>
      </c>
    </row>
    <row r="3" spans="1:19" x14ac:dyDescent="0.2">
      <c r="A3" s="1" t="s">
        <v>97</v>
      </c>
    </row>
    <row r="4" spans="1:19" ht="13.5" x14ac:dyDescent="0.2">
      <c r="C4" s="12" t="s">
        <v>4</v>
      </c>
      <c r="D4" s="13"/>
      <c r="E4" s="13"/>
      <c r="F4" s="13"/>
      <c r="H4" s="8" t="s">
        <v>94</v>
      </c>
      <c r="I4" s="9"/>
      <c r="J4" s="9"/>
      <c r="K4" s="9"/>
      <c r="M4" s="8" t="s">
        <v>6</v>
      </c>
      <c r="N4" s="8"/>
      <c r="O4" s="8"/>
      <c r="Q4" s="8" t="s">
        <v>7</v>
      </c>
      <c r="R4" s="8"/>
      <c r="S4" s="8"/>
    </row>
    <row r="5" spans="1:19" s="3" customFormat="1" ht="24" x14ac:dyDescent="0.2">
      <c r="A5" s="4" t="s">
        <v>92</v>
      </c>
      <c r="B5" s="4"/>
      <c r="C5" s="14" t="s">
        <v>0</v>
      </c>
      <c r="D5" s="14" t="s">
        <v>1</v>
      </c>
      <c r="E5" s="14" t="s">
        <v>2</v>
      </c>
      <c r="F5" s="14" t="s">
        <v>3</v>
      </c>
      <c r="G5" s="5"/>
      <c r="H5" s="10" t="s">
        <v>0</v>
      </c>
      <c r="I5" s="10" t="s">
        <v>1</v>
      </c>
      <c r="J5" s="10" t="s">
        <v>2</v>
      </c>
      <c r="K5" s="10" t="s">
        <v>3</v>
      </c>
      <c r="L5" s="11"/>
      <c r="M5" s="10" t="s">
        <v>5</v>
      </c>
      <c r="N5" s="10" t="s">
        <v>2</v>
      </c>
      <c r="O5" s="10" t="s">
        <v>3</v>
      </c>
      <c r="P5" s="11"/>
      <c r="Q5" s="10" t="s">
        <v>5</v>
      </c>
      <c r="R5" s="10" t="s">
        <v>2</v>
      </c>
      <c r="S5" s="10" t="s">
        <v>3</v>
      </c>
    </row>
    <row r="6" spans="1:19" s="3" customFormat="1" x14ac:dyDescent="0.2">
      <c r="B6" s="33" t="s">
        <v>96</v>
      </c>
      <c r="C6" s="6">
        <v>768</v>
      </c>
      <c r="D6" s="6">
        <v>57</v>
      </c>
      <c r="E6" s="6">
        <v>6759</v>
      </c>
      <c r="F6" s="6">
        <f t="shared" ref="F6" si="0">SUM(C6:E6)</f>
        <v>7584</v>
      </c>
      <c r="G6" s="1"/>
      <c r="H6" s="7">
        <v>85.6</v>
      </c>
      <c r="I6" s="7">
        <v>64.8</v>
      </c>
      <c r="J6" s="7">
        <v>78.989999999999995</v>
      </c>
      <c r="K6" s="7">
        <v>79.58</v>
      </c>
      <c r="L6" s="1"/>
      <c r="M6" s="7">
        <v>441.97523999999999</v>
      </c>
      <c r="N6" s="7">
        <v>362.84641999999997</v>
      </c>
      <c r="O6" s="7">
        <v>372.46557000000001</v>
      </c>
      <c r="P6" s="1"/>
      <c r="Q6" s="25">
        <v>5009.88</v>
      </c>
      <c r="R6" s="25">
        <v>4314.1400000000003</v>
      </c>
      <c r="S6" s="25">
        <v>4398.72</v>
      </c>
    </row>
    <row r="7" spans="1:19" s="3" customFormat="1" x14ac:dyDescent="0.2">
      <c r="C7" s="29"/>
      <c r="D7" s="29"/>
      <c r="E7" s="29"/>
      <c r="F7" s="29"/>
      <c r="H7" s="30"/>
      <c r="I7" s="30"/>
      <c r="J7" s="30"/>
      <c r="K7" s="30"/>
      <c r="L7" s="31"/>
      <c r="M7" s="30"/>
      <c r="N7" s="30"/>
      <c r="O7" s="30"/>
      <c r="P7" s="31"/>
      <c r="Q7" s="32"/>
      <c r="R7" s="32"/>
      <c r="S7" s="32"/>
    </row>
    <row r="8" spans="1:19" s="3" customFormat="1" x14ac:dyDescent="0.2">
      <c r="B8" s="34" t="s">
        <v>90</v>
      </c>
      <c r="C8" s="29"/>
      <c r="D8" s="29"/>
      <c r="E8" s="29"/>
      <c r="F8" s="29"/>
      <c r="H8" s="30"/>
      <c r="I8" s="30"/>
      <c r="J8" s="30"/>
      <c r="K8" s="30"/>
      <c r="L8" s="31"/>
      <c r="M8" s="30"/>
      <c r="N8" s="30"/>
      <c r="O8" s="30"/>
      <c r="P8" s="31"/>
      <c r="Q8" s="32"/>
      <c r="R8" s="32"/>
      <c r="S8" s="32"/>
    </row>
    <row r="9" spans="1:19" s="3" customFormat="1" x14ac:dyDescent="0.2">
      <c r="A9" s="27">
        <v>1</v>
      </c>
      <c r="B9" s="3" t="s">
        <v>81</v>
      </c>
      <c r="C9" s="29">
        <v>69</v>
      </c>
      <c r="D9" s="29">
        <v>0</v>
      </c>
      <c r="E9" s="29">
        <v>666</v>
      </c>
      <c r="F9" s="29">
        <f t="shared" ref="F9:F18" si="1">SUM(C9:E9)</f>
        <v>735</v>
      </c>
      <c r="H9" s="30">
        <v>74.63</v>
      </c>
      <c r="I9" s="30">
        <v>0</v>
      </c>
      <c r="J9" s="30">
        <v>65.680000000000007</v>
      </c>
      <c r="K9" s="30">
        <v>66.59</v>
      </c>
      <c r="L9" s="31"/>
      <c r="M9" s="30">
        <v>416.12177000000003</v>
      </c>
      <c r="N9" s="30">
        <v>286.93885999999998</v>
      </c>
      <c r="O9" s="30">
        <v>300.18315999999999</v>
      </c>
      <c r="P9" s="31"/>
      <c r="Q9" s="32">
        <v>5496.42</v>
      </c>
      <c r="R9" s="32">
        <v>4207.76</v>
      </c>
      <c r="S9" s="32">
        <v>4339.88</v>
      </c>
    </row>
    <row r="10" spans="1:19" s="3" customFormat="1" x14ac:dyDescent="0.2">
      <c r="A10" s="27">
        <v>2</v>
      </c>
      <c r="B10" s="3" t="s">
        <v>82</v>
      </c>
      <c r="C10" s="29">
        <v>143</v>
      </c>
      <c r="D10" s="29">
        <v>9</v>
      </c>
      <c r="E10" s="29">
        <v>1060</v>
      </c>
      <c r="F10" s="29">
        <f t="shared" si="1"/>
        <v>1212</v>
      </c>
      <c r="H10" s="30">
        <v>93.3</v>
      </c>
      <c r="I10" s="30">
        <v>75.5</v>
      </c>
      <c r="J10" s="30">
        <v>92.05</v>
      </c>
      <c r="K10" s="30">
        <v>92.11</v>
      </c>
      <c r="L10" s="31"/>
      <c r="M10" s="30">
        <v>579.33451000000002</v>
      </c>
      <c r="N10" s="30">
        <v>476.51501999999999</v>
      </c>
      <c r="O10" s="30">
        <v>489.30548999999996</v>
      </c>
      <c r="P10" s="31"/>
      <c r="Q10" s="32">
        <v>5899.77</v>
      </c>
      <c r="R10" s="32">
        <v>5190.3900000000003</v>
      </c>
      <c r="S10" s="32">
        <v>5278.63</v>
      </c>
    </row>
    <row r="11" spans="1:19" s="3" customFormat="1" x14ac:dyDescent="0.2">
      <c r="A11" s="27">
        <v>3</v>
      </c>
      <c r="B11" s="3" t="s">
        <v>83</v>
      </c>
      <c r="C11" s="29">
        <v>95</v>
      </c>
      <c r="D11" s="29">
        <v>0</v>
      </c>
      <c r="E11" s="29">
        <v>825</v>
      </c>
      <c r="F11" s="29">
        <f t="shared" si="1"/>
        <v>920</v>
      </c>
      <c r="H11" s="30">
        <v>81.3</v>
      </c>
      <c r="I11" s="30">
        <v>0</v>
      </c>
      <c r="J11" s="30">
        <v>69.430000000000007</v>
      </c>
      <c r="K11" s="30">
        <v>70.83</v>
      </c>
      <c r="L11" s="31"/>
      <c r="M11" s="30">
        <v>320.05552</v>
      </c>
      <c r="N11" s="30">
        <v>265.09300999999999</v>
      </c>
      <c r="O11" s="30">
        <v>272.86036999999999</v>
      </c>
      <c r="P11" s="31"/>
      <c r="Q11" s="32">
        <v>4021.31</v>
      </c>
      <c r="R11" s="32">
        <v>3860.47</v>
      </c>
      <c r="S11" s="32">
        <v>3883.2</v>
      </c>
    </row>
    <row r="12" spans="1:19" s="3" customFormat="1" x14ac:dyDescent="0.2">
      <c r="A12" s="27">
        <v>4</v>
      </c>
      <c r="B12" s="3" t="s">
        <v>84</v>
      </c>
      <c r="C12" s="29">
        <v>6</v>
      </c>
      <c r="D12" s="29">
        <v>1</v>
      </c>
      <c r="E12" s="29">
        <v>299</v>
      </c>
      <c r="F12" s="29">
        <f t="shared" si="1"/>
        <v>306</v>
      </c>
      <c r="H12" s="30">
        <v>109.4</v>
      </c>
      <c r="I12" s="30">
        <v>0</v>
      </c>
      <c r="J12" s="30">
        <v>92.72</v>
      </c>
      <c r="K12" s="30">
        <v>93.03</v>
      </c>
      <c r="L12" s="31"/>
      <c r="M12" s="30">
        <v>663.2</v>
      </c>
      <c r="N12" s="30">
        <v>562.86152000000004</v>
      </c>
      <c r="O12" s="30">
        <v>565.03334999999993</v>
      </c>
      <c r="P12" s="31"/>
      <c r="Q12" s="32">
        <v>6058.36</v>
      </c>
      <c r="R12" s="32">
        <v>5430.82</v>
      </c>
      <c r="S12" s="32">
        <v>5444.4</v>
      </c>
    </row>
    <row r="13" spans="1:19" s="3" customFormat="1" x14ac:dyDescent="0.2">
      <c r="A13" s="27">
        <v>5</v>
      </c>
      <c r="B13" s="3" t="s">
        <v>85</v>
      </c>
      <c r="C13" s="29">
        <v>78</v>
      </c>
      <c r="D13" s="29">
        <v>0</v>
      </c>
      <c r="E13" s="29">
        <v>529</v>
      </c>
      <c r="F13" s="29">
        <f t="shared" si="1"/>
        <v>607</v>
      </c>
      <c r="H13" s="30">
        <v>112.77</v>
      </c>
      <c r="I13" s="30">
        <v>0</v>
      </c>
      <c r="J13" s="30">
        <v>127.5</v>
      </c>
      <c r="K13" s="30">
        <v>125.7</v>
      </c>
      <c r="L13" s="31"/>
      <c r="M13" s="30">
        <v>764.79829000000007</v>
      </c>
      <c r="N13" s="30">
        <v>742.09983</v>
      </c>
      <c r="O13" s="30">
        <v>744.99277000000006</v>
      </c>
      <c r="P13" s="31"/>
      <c r="Q13" s="32">
        <v>6581.86</v>
      </c>
      <c r="R13" s="32">
        <v>5882.24</v>
      </c>
      <c r="S13" s="32">
        <v>5971.41</v>
      </c>
    </row>
    <row r="14" spans="1:19" s="3" customFormat="1" x14ac:dyDescent="0.2">
      <c r="A14" s="27">
        <v>6</v>
      </c>
      <c r="B14" s="3" t="s">
        <v>86</v>
      </c>
      <c r="C14" s="29">
        <v>63</v>
      </c>
      <c r="D14" s="29">
        <v>0</v>
      </c>
      <c r="E14" s="29">
        <v>487</v>
      </c>
      <c r="F14" s="29">
        <f t="shared" si="1"/>
        <v>550</v>
      </c>
      <c r="H14" s="30">
        <v>104.08</v>
      </c>
      <c r="I14" s="30">
        <v>0</v>
      </c>
      <c r="J14" s="30">
        <v>77.77</v>
      </c>
      <c r="K14" s="30">
        <v>80.930000000000007</v>
      </c>
      <c r="L14" s="31"/>
      <c r="M14" s="30">
        <v>436.83229</v>
      </c>
      <c r="N14" s="30">
        <v>360.03573999999998</v>
      </c>
      <c r="O14" s="30">
        <v>369.39729999999997</v>
      </c>
      <c r="P14" s="31"/>
      <c r="Q14" s="32">
        <v>4663.5</v>
      </c>
      <c r="R14" s="32">
        <v>4733.58</v>
      </c>
      <c r="S14" s="32">
        <v>4725.04</v>
      </c>
    </row>
    <row r="15" spans="1:19" s="3" customFormat="1" x14ac:dyDescent="0.2">
      <c r="A15" s="27">
        <v>7</v>
      </c>
      <c r="B15" s="3" t="s">
        <v>87</v>
      </c>
      <c r="C15" s="29">
        <v>168</v>
      </c>
      <c r="D15" s="29">
        <v>6</v>
      </c>
      <c r="E15" s="29">
        <v>611</v>
      </c>
      <c r="F15" s="29">
        <f t="shared" si="1"/>
        <v>785</v>
      </c>
      <c r="H15" s="30">
        <v>80.180000000000007</v>
      </c>
      <c r="I15" s="30">
        <v>65.67</v>
      </c>
      <c r="J15" s="30">
        <v>69.739999999999995</v>
      </c>
      <c r="K15" s="30">
        <v>71.98</v>
      </c>
      <c r="L15" s="31"/>
      <c r="M15" s="30">
        <v>323.87140000000005</v>
      </c>
      <c r="N15" s="30">
        <v>232.95914000000002</v>
      </c>
      <c r="O15" s="30">
        <v>253.80176999999998</v>
      </c>
      <c r="P15" s="31"/>
      <c r="Q15" s="32">
        <v>3987.23</v>
      </c>
      <c r="R15" s="32">
        <v>3415.1</v>
      </c>
      <c r="S15" s="32">
        <v>3546.27</v>
      </c>
    </row>
    <row r="16" spans="1:19" s="3" customFormat="1" x14ac:dyDescent="0.2">
      <c r="A16" s="27">
        <v>8</v>
      </c>
      <c r="B16" s="3" t="s">
        <v>88</v>
      </c>
      <c r="C16" s="29">
        <v>6</v>
      </c>
      <c r="D16" s="29">
        <v>0</v>
      </c>
      <c r="E16" s="29">
        <v>761</v>
      </c>
      <c r="F16" s="29">
        <f t="shared" si="1"/>
        <v>767</v>
      </c>
      <c r="H16" s="30">
        <v>61</v>
      </c>
      <c r="I16" s="30">
        <v>0</v>
      </c>
      <c r="J16" s="30">
        <v>63.94</v>
      </c>
      <c r="K16" s="30">
        <v>63.92</v>
      </c>
      <c r="L16" s="31"/>
      <c r="M16" s="30">
        <v>126.75</v>
      </c>
      <c r="N16" s="30">
        <v>177.36042999999998</v>
      </c>
      <c r="O16" s="30">
        <v>176.87025</v>
      </c>
      <c r="P16" s="31"/>
      <c r="Q16" s="32">
        <v>2140.08</v>
      </c>
      <c r="R16" s="32">
        <v>2744.79</v>
      </c>
      <c r="S16" s="32">
        <v>2738.93</v>
      </c>
    </row>
    <row r="17" spans="1:19" s="3" customFormat="1" x14ac:dyDescent="0.2">
      <c r="A17" s="27">
        <v>9</v>
      </c>
      <c r="B17" s="3" t="s">
        <v>66</v>
      </c>
      <c r="C17" s="29">
        <v>21</v>
      </c>
      <c r="D17" s="29">
        <v>6</v>
      </c>
      <c r="E17" s="29">
        <v>606</v>
      </c>
      <c r="F17" s="29">
        <f t="shared" si="1"/>
        <v>633</v>
      </c>
      <c r="H17" s="30">
        <v>70.599999999999994</v>
      </c>
      <c r="I17" s="30">
        <v>76.67</v>
      </c>
      <c r="J17" s="30">
        <v>71.5</v>
      </c>
      <c r="K17" s="30">
        <v>71.52</v>
      </c>
      <c r="L17" s="31"/>
      <c r="M17" s="30">
        <v>221.90995999999998</v>
      </c>
      <c r="N17" s="30">
        <v>257.32121999999998</v>
      </c>
      <c r="O17" s="30">
        <v>255.51453000000001</v>
      </c>
      <c r="P17" s="31"/>
      <c r="Q17" s="32">
        <v>3243.5</v>
      </c>
      <c r="R17" s="32">
        <v>3500.65</v>
      </c>
      <c r="S17" s="32">
        <v>3487.53</v>
      </c>
    </row>
    <row r="18" spans="1:19" s="3" customFormat="1" x14ac:dyDescent="0.2">
      <c r="A18" s="27">
        <v>10</v>
      </c>
      <c r="B18" s="3" t="s">
        <v>89</v>
      </c>
      <c r="C18" s="29">
        <v>107</v>
      </c>
      <c r="D18" s="29">
        <v>35</v>
      </c>
      <c r="E18" s="29">
        <v>876</v>
      </c>
      <c r="F18" s="29">
        <f t="shared" si="1"/>
        <v>1018</v>
      </c>
      <c r="H18" s="30">
        <v>70.78</v>
      </c>
      <c r="I18" s="30">
        <v>60.41</v>
      </c>
      <c r="J18" s="30">
        <v>73.680000000000007</v>
      </c>
      <c r="K18" s="30">
        <v>72.91</v>
      </c>
      <c r="L18" s="31"/>
      <c r="M18" s="30">
        <v>414.42356000000001</v>
      </c>
      <c r="N18" s="30">
        <v>307.94576000000001</v>
      </c>
      <c r="O18" s="30">
        <v>322.72227000000004</v>
      </c>
      <c r="P18" s="31"/>
      <c r="Q18" s="32">
        <v>5531.07</v>
      </c>
      <c r="R18" s="32">
        <v>4011.84</v>
      </c>
      <c r="S18" s="32">
        <v>4222.67</v>
      </c>
    </row>
    <row r="19" spans="1:19" s="3" customFormat="1" x14ac:dyDescent="0.2">
      <c r="A19" s="27"/>
      <c r="C19" s="29"/>
      <c r="D19" s="29"/>
      <c r="E19" s="29"/>
      <c r="F19" s="29"/>
      <c r="H19" s="30"/>
      <c r="I19" s="30"/>
      <c r="J19" s="30"/>
      <c r="K19" s="30"/>
      <c r="L19" s="31"/>
      <c r="M19" s="30"/>
      <c r="N19" s="30"/>
      <c r="O19" s="30"/>
      <c r="P19" s="31"/>
      <c r="Q19" s="32"/>
      <c r="R19" s="32"/>
      <c r="S19" s="32"/>
    </row>
    <row r="20" spans="1:19" s="3" customFormat="1" x14ac:dyDescent="0.2">
      <c r="A20" s="27"/>
      <c r="B20" s="34" t="s">
        <v>91</v>
      </c>
      <c r="C20" s="29"/>
      <c r="D20" s="29"/>
      <c r="E20" s="29"/>
      <c r="F20" s="29"/>
      <c r="H20" s="30"/>
      <c r="I20" s="30"/>
      <c r="J20" s="30"/>
      <c r="K20" s="30"/>
      <c r="L20" s="31"/>
      <c r="M20" s="30"/>
      <c r="N20" s="30"/>
      <c r="O20" s="30"/>
      <c r="P20" s="31"/>
      <c r="Q20" s="32"/>
      <c r="R20" s="32"/>
      <c r="S20" s="32"/>
    </row>
    <row r="21" spans="1:19" x14ac:dyDescent="0.2">
      <c r="A21" s="27">
        <v>1</v>
      </c>
      <c r="B21" s="6" t="s">
        <v>8</v>
      </c>
      <c r="C21" s="6">
        <v>11</v>
      </c>
      <c r="D21" s="6">
        <v>0</v>
      </c>
      <c r="E21" s="6">
        <v>301</v>
      </c>
      <c r="F21" s="29">
        <f t="shared" ref="F21:F84" si="2">SUM(C21:E21)</f>
        <v>312</v>
      </c>
      <c r="H21" s="7">
        <v>64.599999999999994</v>
      </c>
      <c r="I21" s="7">
        <v>0</v>
      </c>
      <c r="J21" s="7">
        <v>59.66</v>
      </c>
      <c r="K21" s="7">
        <v>59.85</v>
      </c>
      <c r="M21" s="7">
        <v>389.08499999999998</v>
      </c>
      <c r="N21" s="7">
        <v>174.76235999999997</v>
      </c>
      <c r="O21" s="7">
        <v>183.30110999999999</v>
      </c>
      <c r="Q21" s="25">
        <v>5881.96</v>
      </c>
      <c r="R21" s="25">
        <v>2931.69</v>
      </c>
      <c r="S21" s="25">
        <v>3049.23</v>
      </c>
    </row>
    <row r="22" spans="1:19" x14ac:dyDescent="0.2">
      <c r="A22" s="27">
        <v>2</v>
      </c>
      <c r="B22" s="6" t="s">
        <v>9</v>
      </c>
      <c r="C22" s="6">
        <v>26</v>
      </c>
      <c r="D22" s="6">
        <v>0</v>
      </c>
      <c r="E22" s="6">
        <v>107</v>
      </c>
      <c r="F22" s="29">
        <f t="shared" si="2"/>
        <v>133</v>
      </c>
      <c r="H22" s="7">
        <v>86.22</v>
      </c>
      <c r="I22" s="7">
        <v>0</v>
      </c>
      <c r="J22" s="7">
        <v>94.95</v>
      </c>
      <c r="K22" s="7">
        <v>93.29</v>
      </c>
      <c r="M22" s="7">
        <v>533.29217000000006</v>
      </c>
      <c r="N22" s="7">
        <v>555.83345999999995</v>
      </c>
      <c r="O22" s="7">
        <v>551.54875000000004</v>
      </c>
      <c r="Q22" s="25">
        <v>5993.56</v>
      </c>
      <c r="R22" s="25">
        <v>5259.7</v>
      </c>
      <c r="S22" s="25">
        <v>5399.19</v>
      </c>
    </row>
    <row r="23" spans="1:19" x14ac:dyDescent="0.2">
      <c r="A23" s="27">
        <v>3</v>
      </c>
      <c r="B23" s="6" t="s">
        <v>10</v>
      </c>
      <c r="C23" s="6">
        <v>10</v>
      </c>
      <c r="D23" s="6">
        <v>0</v>
      </c>
      <c r="E23" s="6">
        <v>99</v>
      </c>
      <c r="F23" s="29">
        <f t="shared" si="2"/>
        <v>109</v>
      </c>
      <c r="H23" s="7">
        <v>40.299999999999997</v>
      </c>
      <c r="I23" s="7">
        <v>0</v>
      </c>
      <c r="J23" s="7">
        <v>46.56</v>
      </c>
      <c r="K23" s="7">
        <v>45.94</v>
      </c>
      <c r="M23" s="7">
        <v>197.4</v>
      </c>
      <c r="N23" s="7">
        <v>255.87168</v>
      </c>
      <c r="O23" s="7">
        <v>250.08240000000001</v>
      </c>
      <c r="Q23" s="25">
        <v>5146.1099999999997</v>
      </c>
      <c r="R23" s="25">
        <v>5614.2</v>
      </c>
      <c r="S23" s="25">
        <v>5567.85</v>
      </c>
    </row>
    <row r="24" spans="1:19" x14ac:dyDescent="0.2">
      <c r="A24" s="27">
        <v>4</v>
      </c>
      <c r="B24" s="6" t="s">
        <v>11</v>
      </c>
      <c r="C24" s="6">
        <v>22</v>
      </c>
      <c r="D24" s="6">
        <v>0</v>
      </c>
      <c r="E24" s="6">
        <v>159</v>
      </c>
      <c r="F24" s="29">
        <f t="shared" si="2"/>
        <v>181</v>
      </c>
      <c r="H24" s="7">
        <v>82.68</v>
      </c>
      <c r="I24" s="7">
        <v>0</v>
      </c>
      <c r="J24" s="7">
        <v>68.22</v>
      </c>
      <c r="K24" s="7">
        <v>70.2</v>
      </c>
      <c r="M24" s="7">
        <v>405.33385999999996</v>
      </c>
      <c r="N24" s="7">
        <v>312.19051000000002</v>
      </c>
      <c r="O24" s="7">
        <v>324.91816999999998</v>
      </c>
      <c r="Q24" s="25">
        <v>4960.68</v>
      </c>
      <c r="R24" s="25">
        <v>4757.82</v>
      </c>
      <c r="S24" s="25">
        <v>4785.54</v>
      </c>
    </row>
    <row r="25" spans="1:19" x14ac:dyDescent="0.2">
      <c r="A25" s="27">
        <v>5</v>
      </c>
      <c r="B25" s="6" t="s">
        <v>12</v>
      </c>
      <c r="C25" s="6">
        <v>5</v>
      </c>
      <c r="D25" s="6">
        <v>0</v>
      </c>
      <c r="E25" s="6">
        <v>102</v>
      </c>
      <c r="F25" s="29">
        <f t="shared" si="2"/>
        <v>107</v>
      </c>
      <c r="H25" s="7">
        <v>86.6</v>
      </c>
      <c r="I25" s="7">
        <v>0</v>
      </c>
      <c r="J25" s="7">
        <v>89.71</v>
      </c>
      <c r="K25" s="7">
        <v>89.56</v>
      </c>
      <c r="M25" s="7">
        <v>403.9</v>
      </c>
      <c r="N25" s="7">
        <v>385.64542</v>
      </c>
      <c r="O25" s="7">
        <v>386.57678000000004</v>
      </c>
      <c r="Q25" s="25">
        <v>4744.3500000000004</v>
      </c>
      <c r="R25" s="25">
        <v>4408.41</v>
      </c>
      <c r="S25" s="25">
        <v>4425.55</v>
      </c>
    </row>
    <row r="26" spans="1:19" x14ac:dyDescent="0.2">
      <c r="A26" s="27">
        <v>6</v>
      </c>
      <c r="B26" s="6" t="s">
        <v>13</v>
      </c>
      <c r="C26" s="6">
        <v>16</v>
      </c>
      <c r="D26" s="6">
        <v>0</v>
      </c>
      <c r="E26" s="6">
        <v>223</v>
      </c>
      <c r="F26" s="29">
        <f t="shared" si="2"/>
        <v>239</v>
      </c>
      <c r="H26" s="7">
        <v>71.069999999999993</v>
      </c>
      <c r="I26" s="7">
        <v>0</v>
      </c>
      <c r="J26" s="7">
        <v>74.72</v>
      </c>
      <c r="K26" s="7">
        <v>74.47</v>
      </c>
      <c r="M26" s="7">
        <v>404.26033000000001</v>
      </c>
      <c r="N26" s="7">
        <v>345.79728999999998</v>
      </c>
      <c r="O26" s="7">
        <v>350.05430999999999</v>
      </c>
      <c r="Q26" s="25">
        <v>5902.44</v>
      </c>
      <c r="R26" s="25">
        <v>4789.9399999999996</v>
      </c>
      <c r="S26" s="25">
        <v>4870.95</v>
      </c>
    </row>
    <row r="27" spans="1:19" x14ac:dyDescent="0.2">
      <c r="A27" s="27">
        <v>7</v>
      </c>
      <c r="B27" s="6" t="s">
        <v>14</v>
      </c>
      <c r="C27" s="6">
        <v>32</v>
      </c>
      <c r="D27" s="6">
        <v>0</v>
      </c>
      <c r="E27" s="6">
        <v>213</v>
      </c>
      <c r="F27" s="29">
        <f t="shared" si="2"/>
        <v>245</v>
      </c>
      <c r="H27" s="7">
        <v>140.93</v>
      </c>
      <c r="I27" s="7">
        <v>0</v>
      </c>
      <c r="J27" s="7">
        <v>118.74</v>
      </c>
      <c r="K27" s="7">
        <v>121.63</v>
      </c>
      <c r="M27" s="7">
        <v>1049.87086</v>
      </c>
      <c r="N27" s="7">
        <v>736.46692000000007</v>
      </c>
      <c r="O27" s="7">
        <v>777.77926000000002</v>
      </c>
      <c r="Q27" s="25">
        <v>7558.22</v>
      </c>
      <c r="R27" s="25">
        <v>6261.14</v>
      </c>
      <c r="S27" s="25">
        <v>6432.12</v>
      </c>
    </row>
    <row r="28" spans="1:19" x14ac:dyDescent="0.2">
      <c r="A28" s="27">
        <v>8</v>
      </c>
      <c r="B28" s="6" t="s">
        <v>15</v>
      </c>
      <c r="C28" s="6">
        <v>15</v>
      </c>
      <c r="D28" s="6">
        <v>1</v>
      </c>
      <c r="E28" s="6">
        <v>202</v>
      </c>
      <c r="F28" s="29">
        <f t="shared" si="2"/>
        <v>218</v>
      </c>
      <c r="H28" s="7">
        <v>106</v>
      </c>
      <c r="I28" s="7">
        <v>52</v>
      </c>
      <c r="J28" s="7">
        <v>98.27</v>
      </c>
      <c r="K28" s="7">
        <v>98.55</v>
      </c>
      <c r="M28" s="7">
        <v>880.23092000000008</v>
      </c>
      <c r="N28" s="7">
        <v>506.75127000000003</v>
      </c>
      <c r="O28" s="7">
        <v>532.03895</v>
      </c>
      <c r="Q28" s="25">
        <v>7891.37</v>
      </c>
      <c r="R28" s="25">
        <v>5386.75</v>
      </c>
      <c r="S28" s="25">
        <v>5556.33</v>
      </c>
    </row>
    <row r="29" spans="1:19" x14ac:dyDescent="0.2">
      <c r="A29" s="27">
        <v>9</v>
      </c>
      <c r="B29" s="6" t="s">
        <v>16</v>
      </c>
      <c r="C29" s="6">
        <v>63</v>
      </c>
      <c r="D29" s="6">
        <v>7</v>
      </c>
      <c r="E29" s="6">
        <v>167</v>
      </c>
      <c r="F29" s="29">
        <f t="shared" si="2"/>
        <v>237</v>
      </c>
      <c r="H29" s="7">
        <v>74.319999999999993</v>
      </c>
      <c r="I29" s="7">
        <v>80.2</v>
      </c>
      <c r="J29" s="7">
        <v>80.239999999999995</v>
      </c>
      <c r="K29" s="7">
        <v>78.650000000000006</v>
      </c>
      <c r="M29" s="7">
        <v>370.20517000000001</v>
      </c>
      <c r="N29" s="7">
        <v>400.72197</v>
      </c>
      <c r="O29" s="7">
        <v>391.67995999999999</v>
      </c>
      <c r="Q29" s="25">
        <v>4977.38</v>
      </c>
      <c r="R29" s="25">
        <v>4893.62</v>
      </c>
      <c r="S29" s="25">
        <v>4918.4399999999996</v>
      </c>
    </row>
    <row r="30" spans="1:19" x14ac:dyDescent="0.2">
      <c r="A30" s="27">
        <v>10</v>
      </c>
      <c r="B30" s="6" t="s">
        <v>17</v>
      </c>
      <c r="C30" s="6">
        <v>12</v>
      </c>
      <c r="D30" s="6">
        <v>1</v>
      </c>
      <c r="E30" s="6">
        <v>153</v>
      </c>
      <c r="F30" s="29">
        <f t="shared" si="2"/>
        <v>166</v>
      </c>
      <c r="H30" s="7">
        <v>82.45</v>
      </c>
      <c r="I30" s="7">
        <v>0</v>
      </c>
      <c r="J30" s="7">
        <v>84.47</v>
      </c>
      <c r="K30" s="7">
        <v>84.31</v>
      </c>
      <c r="M30" s="7">
        <v>366.36364000000003</v>
      </c>
      <c r="N30" s="7">
        <v>380.93927000000002</v>
      </c>
      <c r="O30" s="7">
        <v>379.72462999999999</v>
      </c>
      <c r="Q30" s="25">
        <v>4391.18</v>
      </c>
      <c r="R30" s="25">
        <v>4769.03</v>
      </c>
      <c r="S30" s="25">
        <v>4737.54</v>
      </c>
    </row>
    <row r="31" spans="1:19" x14ac:dyDescent="0.2">
      <c r="A31" s="27">
        <v>11</v>
      </c>
      <c r="B31" s="6" t="s">
        <v>18</v>
      </c>
      <c r="C31" s="6">
        <v>3</v>
      </c>
      <c r="D31" s="6">
        <v>0</v>
      </c>
      <c r="E31" s="6">
        <v>210</v>
      </c>
      <c r="F31" s="29">
        <f t="shared" si="2"/>
        <v>213</v>
      </c>
      <c r="H31" s="7">
        <v>58</v>
      </c>
      <c r="I31" s="7">
        <v>0</v>
      </c>
      <c r="J31" s="7">
        <v>63.3</v>
      </c>
      <c r="K31" s="7">
        <v>63.21</v>
      </c>
      <c r="M31" s="7">
        <v>305.33366999999998</v>
      </c>
      <c r="N31" s="7">
        <v>247.12764999999999</v>
      </c>
      <c r="O31" s="7">
        <v>248.137</v>
      </c>
      <c r="Q31" s="25">
        <v>5267.12</v>
      </c>
      <c r="R31" s="25">
        <v>4016.53</v>
      </c>
      <c r="S31" s="25">
        <v>4038.22</v>
      </c>
    </row>
    <row r="32" spans="1:19" x14ac:dyDescent="0.2">
      <c r="A32" s="27">
        <v>12</v>
      </c>
      <c r="B32" s="6" t="s">
        <v>19</v>
      </c>
      <c r="C32" s="6">
        <v>52</v>
      </c>
      <c r="D32" s="6">
        <v>0</v>
      </c>
      <c r="E32" s="6">
        <v>61</v>
      </c>
      <c r="F32" s="29">
        <f t="shared" si="2"/>
        <v>113</v>
      </c>
      <c r="H32" s="7">
        <v>89.02</v>
      </c>
      <c r="I32" s="7">
        <v>0</v>
      </c>
      <c r="J32" s="7">
        <v>80.95</v>
      </c>
      <c r="K32" s="7">
        <v>84.76</v>
      </c>
      <c r="M32" s="7">
        <v>336.96823000000001</v>
      </c>
      <c r="N32" s="7">
        <v>354.43965999999995</v>
      </c>
      <c r="O32" s="7">
        <v>345.94887</v>
      </c>
      <c r="Q32" s="25">
        <v>3789.1</v>
      </c>
      <c r="R32" s="25">
        <v>4373.1499999999996</v>
      </c>
      <c r="S32" s="25">
        <v>4089.31</v>
      </c>
    </row>
    <row r="33" spans="1:19" x14ac:dyDescent="0.2">
      <c r="A33" s="27">
        <v>13</v>
      </c>
      <c r="B33" s="6" t="s">
        <v>20</v>
      </c>
      <c r="C33" s="6">
        <v>3</v>
      </c>
      <c r="D33" s="6">
        <v>0</v>
      </c>
      <c r="E33" s="6">
        <v>126</v>
      </c>
      <c r="F33" s="29">
        <f t="shared" si="2"/>
        <v>129</v>
      </c>
      <c r="H33" s="7">
        <v>51.33</v>
      </c>
      <c r="I33" s="7">
        <v>0</v>
      </c>
      <c r="J33" s="7">
        <v>69.97</v>
      </c>
      <c r="K33" s="7">
        <v>69.48</v>
      </c>
      <c r="M33" s="7">
        <v>163.66667000000001</v>
      </c>
      <c r="N33" s="7">
        <v>247.00272000000001</v>
      </c>
      <c r="O33" s="7">
        <v>243.53038000000001</v>
      </c>
      <c r="Q33" s="25">
        <v>3201.15</v>
      </c>
      <c r="R33" s="25">
        <v>3538.75</v>
      </c>
      <c r="S33" s="25">
        <v>3524.68</v>
      </c>
    </row>
    <row r="34" spans="1:19" x14ac:dyDescent="0.2">
      <c r="A34" s="27">
        <v>14</v>
      </c>
      <c r="B34" s="6" t="s">
        <v>21</v>
      </c>
      <c r="C34" s="6">
        <v>8</v>
      </c>
      <c r="D34" s="6">
        <v>0</v>
      </c>
      <c r="E34" s="6">
        <v>40</v>
      </c>
      <c r="F34" s="29">
        <f t="shared" si="2"/>
        <v>48</v>
      </c>
      <c r="H34" s="7">
        <v>76.709999999999994</v>
      </c>
      <c r="I34" s="7">
        <v>0</v>
      </c>
      <c r="J34" s="7">
        <v>85.03</v>
      </c>
      <c r="K34" s="7">
        <v>83.54</v>
      </c>
      <c r="M34" s="7">
        <v>347.85714000000002</v>
      </c>
      <c r="N34" s="7">
        <v>269.625</v>
      </c>
      <c r="O34" s="7">
        <v>283.66667000000001</v>
      </c>
      <c r="Q34" s="25">
        <v>4696.55</v>
      </c>
      <c r="R34" s="25">
        <v>3461.39</v>
      </c>
      <c r="S34" s="25">
        <v>3683.09</v>
      </c>
    </row>
    <row r="35" spans="1:19" x14ac:dyDescent="0.2">
      <c r="A35" s="27">
        <v>15</v>
      </c>
      <c r="B35" s="6" t="s">
        <v>22</v>
      </c>
      <c r="C35" s="6">
        <v>15</v>
      </c>
      <c r="D35" s="6">
        <v>0</v>
      </c>
      <c r="E35" s="6">
        <v>52</v>
      </c>
      <c r="F35" s="29">
        <f t="shared" si="2"/>
        <v>67</v>
      </c>
      <c r="H35" s="7">
        <v>76.14</v>
      </c>
      <c r="I35" s="7">
        <v>0</v>
      </c>
      <c r="J35" s="7">
        <v>72.84</v>
      </c>
      <c r="K35" s="7">
        <v>73.569999999999993</v>
      </c>
      <c r="M35" s="7">
        <v>352.05778999999995</v>
      </c>
      <c r="N35" s="7">
        <v>289.07446999999996</v>
      </c>
      <c r="O35" s="7">
        <v>303.52965999999998</v>
      </c>
      <c r="Q35" s="25">
        <v>4802.79</v>
      </c>
      <c r="R35" s="25">
        <v>3955.21</v>
      </c>
      <c r="S35" s="25">
        <v>4149.74</v>
      </c>
    </row>
    <row r="36" spans="1:19" x14ac:dyDescent="0.2">
      <c r="A36" s="27">
        <v>16</v>
      </c>
      <c r="B36" s="6" t="s">
        <v>23</v>
      </c>
      <c r="C36" s="6">
        <v>2</v>
      </c>
      <c r="D36" s="6">
        <v>0</v>
      </c>
      <c r="E36" s="6">
        <v>102</v>
      </c>
      <c r="F36" s="29">
        <f t="shared" si="2"/>
        <v>104</v>
      </c>
      <c r="H36" s="7">
        <v>64</v>
      </c>
      <c r="I36" s="7">
        <v>0</v>
      </c>
      <c r="J36" s="7">
        <v>68.33</v>
      </c>
      <c r="K36" s="7">
        <v>68.27</v>
      </c>
      <c r="M36" s="7">
        <v>0</v>
      </c>
      <c r="N36" s="7">
        <v>239.84</v>
      </c>
      <c r="O36" s="7">
        <v>245.47941</v>
      </c>
      <c r="Q36" s="25">
        <v>0</v>
      </c>
      <c r="R36" s="25">
        <v>3488.17</v>
      </c>
      <c r="S36" s="25">
        <v>3581.37</v>
      </c>
    </row>
    <row r="37" spans="1:19" x14ac:dyDescent="0.2">
      <c r="A37" s="27">
        <v>17</v>
      </c>
      <c r="B37" s="6" t="s">
        <v>24</v>
      </c>
      <c r="C37" s="6">
        <v>9</v>
      </c>
      <c r="D37" s="6">
        <v>0</v>
      </c>
      <c r="E37" s="6">
        <v>83</v>
      </c>
      <c r="F37" s="29">
        <f t="shared" si="2"/>
        <v>92</v>
      </c>
      <c r="H37" s="7">
        <v>76.56</v>
      </c>
      <c r="I37" s="7">
        <v>0</v>
      </c>
      <c r="J37" s="7">
        <v>67.31</v>
      </c>
      <c r="K37" s="7">
        <v>68.41</v>
      </c>
      <c r="M37" s="7">
        <v>219.38889</v>
      </c>
      <c r="N37" s="7">
        <v>258.75767999999999</v>
      </c>
      <c r="O37" s="7">
        <v>251.81025</v>
      </c>
      <c r="Q37" s="25">
        <v>3137.68</v>
      </c>
      <c r="R37" s="25">
        <v>3858.85</v>
      </c>
      <c r="S37" s="25">
        <v>3731.58</v>
      </c>
    </row>
    <row r="38" spans="1:19" x14ac:dyDescent="0.2">
      <c r="A38" s="27">
        <v>18</v>
      </c>
      <c r="B38" s="6" t="s">
        <v>25</v>
      </c>
      <c r="C38" s="6">
        <v>3</v>
      </c>
      <c r="D38" s="6">
        <v>0</v>
      </c>
      <c r="E38" s="6">
        <v>151</v>
      </c>
      <c r="F38" s="29">
        <f t="shared" si="2"/>
        <v>154</v>
      </c>
      <c r="H38" s="7">
        <v>55.67</v>
      </c>
      <c r="I38" s="7">
        <v>0</v>
      </c>
      <c r="J38" s="7">
        <v>68.8</v>
      </c>
      <c r="K38" s="7">
        <v>68.489999999999995</v>
      </c>
      <c r="M38" s="7">
        <v>216.66667000000001</v>
      </c>
      <c r="N38" s="7">
        <v>261.31488999999999</v>
      </c>
      <c r="O38" s="7">
        <v>259.93401999999998</v>
      </c>
      <c r="Q38" s="25">
        <v>3642.35</v>
      </c>
      <c r="R38" s="25">
        <v>3801.68</v>
      </c>
      <c r="S38" s="25">
        <v>3796.75</v>
      </c>
    </row>
    <row r="39" spans="1:19" x14ac:dyDescent="0.2">
      <c r="A39" s="27">
        <v>19</v>
      </c>
      <c r="B39" s="6" t="s">
        <v>26</v>
      </c>
      <c r="C39" s="6">
        <v>5</v>
      </c>
      <c r="D39" s="6">
        <v>1</v>
      </c>
      <c r="E39" s="6">
        <v>182</v>
      </c>
      <c r="F39" s="29">
        <f t="shared" si="2"/>
        <v>188</v>
      </c>
      <c r="H39" s="7">
        <v>111.75</v>
      </c>
      <c r="I39" s="7">
        <v>0</v>
      </c>
      <c r="J39" s="7">
        <v>82.78</v>
      </c>
      <c r="K39" s="7">
        <v>83.46</v>
      </c>
      <c r="M39" s="7">
        <v>685.25</v>
      </c>
      <c r="N39" s="7">
        <v>435.27235999999999</v>
      </c>
      <c r="O39" s="7">
        <v>441.72340000000003</v>
      </c>
      <c r="Q39" s="25">
        <v>6135.45</v>
      </c>
      <c r="R39" s="25">
        <v>5255.75</v>
      </c>
      <c r="S39" s="25">
        <v>5278.45</v>
      </c>
    </row>
    <row r="40" spans="1:19" x14ac:dyDescent="0.2">
      <c r="A40" s="27">
        <v>20</v>
      </c>
      <c r="B40" s="6" t="s">
        <v>27</v>
      </c>
      <c r="C40" s="6">
        <v>0</v>
      </c>
      <c r="D40" s="6">
        <v>0</v>
      </c>
      <c r="E40" s="6">
        <v>77</v>
      </c>
      <c r="F40" s="29">
        <f t="shared" si="2"/>
        <v>77</v>
      </c>
      <c r="H40" s="7">
        <v>0</v>
      </c>
      <c r="I40" s="7">
        <v>0</v>
      </c>
      <c r="J40" s="7">
        <v>80.16</v>
      </c>
      <c r="K40" s="7">
        <v>80.16</v>
      </c>
      <c r="M40" s="7">
        <v>0</v>
      </c>
      <c r="N40" s="7">
        <v>385.27109000000002</v>
      </c>
      <c r="O40" s="7">
        <v>385.27109000000002</v>
      </c>
      <c r="Q40" s="25">
        <v>0</v>
      </c>
      <c r="R40" s="25">
        <v>4487.01</v>
      </c>
      <c r="S40" s="25">
        <v>4487.01</v>
      </c>
    </row>
    <row r="41" spans="1:19" x14ac:dyDescent="0.2">
      <c r="A41" s="27">
        <v>21</v>
      </c>
      <c r="B41" s="6" t="s">
        <v>28</v>
      </c>
      <c r="C41" s="6">
        <v>1</v>
      </c>
      <c r="D41" s="6">
        <v>0</v>
      </c>
      <c r="E41" s="6">
        <v>40</v>
      </c>
      <c r="F41" s="29">
        <f t="shared" si="2"/>
        <v>41</v>
      </c>
      <c r="H41" s="7">
        <v>100</v>
      </c>
      <c r="I41" s="7">
        <v>0</v>
      </c>
      <c r="J41" s="7">
        <v>168.61</v>
      </c>
      <c r="K41" s="7">
        <v>166.59</v>
      </c>
      <c r="M41" s="7">
        <v>0</v>
      </c>
      <c r="N41" s="7">
        <v>1471.44597</v>
      </c>
      <c r="O41" s="7">
        <v>1442.52836</v>
      </c>
      <c r="Q41" s="25">
        <v>0</v>
      </c>
      <c r="R41" s="25">
        <v>7727.71</v>
      </c>
      <c r="S41" s="25">
        <v>7663.91</v>
      </c>
    </row>
    <row r="42" spans="1:19" x14ac:dyDescent="0.2">
      <c r="A42" s="27">
        <v>22</v>
      </c>
      <c r="B42" s="6" t="s">
        <v>29</v>
      </c>
      <c r="C42" s="6">
        <v>1</v>
      </c>
      <c r="D42" s="6">
        <v>0</v>
      </c>
      <c r="E42" s="6">
        <v>9</v>
      </c>
      <c r="F42" s="29">
        <f t="shared" si="2"/>
        <v>10</v>
      </c>
      <c r="H42" s="7">
        <v>86</v>
      </c>
      <c r="I42" s="7">
        <v>0</v>
      </c>
      <c r="J42" s="7">
        <v>148</v>
      </c>
      <c r="K42" s="7">
        <v>140.25</v>
      </c>
      <c r="M42" s="7">
        <v>0</v>
      </c>
      <c r="N42" s="7">
        <v>526.57143000000008</v>
      </c>
      <c r="O42" s="7">
        <v>510.75</v>
      </c>
      <c r="Q42" s="25">
        <v>0</v>
      </c>
      <c r="R42" s="25">
        <v>3810.57</v>
      </c>
      <c r="S42" s="25">
        <v>3915.64</v>
      </c>
    </row>
    <row r="43" spans="1:19" x14ac:dyDescent="0.2">
      <c r="A43" s="27">
        <v>23</v>
      </c>
      <c r="B43" s="6" t="s">
        <v>30</v>
      </c>
      <c r="C43" s="6">
        <v>4</v>
      </c>
      <c r="D43" s="6">
        <v>0</v>
      </c>
      <c r="E43" s="6">
        <v>85</v>
      </c>
      <c r="F43" s="29">
        <f t="shared" si="2"/>
        <v>89</v>
      </c>
      <c r="H43" s="7">
        <v>198</v>
      </c>
      <c r="I43" s="7">
        <v>0</v>
      </c>
      <c r="J43" s="7">
        <v>119.71</v>
      </c>
      <c r="K43" s="7">
        <v>123.62</v>
      </c>
      <c r="M43" s="7">
        <v>2402.8125</v>
      </c>
      <c r="N43" s="7">
        <v>756.53900999999996</v>
      </c>
      <c r="O43" s="7">
        <v>846.74578000000008</v>
      </c>
      <c r="Q43" s="25">
        <v>11231.29</v>
      </c>
      <c r="R43" s="25">
        <v>6582.18</v>
      </c>
      <c r="S43" s="25">
        <v>6836.93</v>
      </c>
    </row>
    <row r="44" spans="1:19" x14ac:dyDescent="0.2">
      <c r="A44" s="27">
        <v>24</v>
      </c>
      <c r="B44" s="6" t="s">
        <v>31</v>
      </c>
      <c r="C44" s="6">
        <v>2</v>
      </c>
      <c r="D44" s="6">
        <v>0</v>
      </c>
      <c r="E44" s="6">
        <v>57</v>
      </c>
      <c r="F44" s="29">
        <f t="shared" si="2"/>
        <v>59</v>
      </c>
      <c r="H44" s="7">
        <v>204</v>
      </c>
      <c r="I44" s="7">
        <v>0</v>
      </c>
      <c r="J44" s="7">
        <v>154.69</v>
      </c>
      <c r="K44" s="7">
        <v>156.66</v>
      </c>
      <c r="M44" s="7">
        <v>0</v>
      </c>
      <c r="N44" s="7">
        <v>994.30192</v>
      </c>
      <c r="O44" s="7">
        <v>996.83365000000003</v>
      </c>
      <c r="Q44" s="25">
        <v>0</v>
      </c>
      <c r="R44" s="25">
        <v>6344.62</v>
      </c>
      <c r="S44" s="25">
        <v>6290.52</v>
      </c>
    </row>
    <row r="45" spans="1:19" x14ac:dyDescent="0.2">
      <c r="A45" s="27">
        <v>25</v>
      </c>
      <c r="B45" s="6" t="s">
        <v>32</v>
      </c>
      <c r="C45" s="6">
        <v>23</v>
      </c>
      <c r="D45" s="6">
        <v>0</v>
      </c>
      <c r="E45" s="6">
        <v>73</v>
      </c>
      <c r="F45" s="29">
        <f t="shared" si="2"/>
        <v>96</v>
      </c>
      <c r="H45" s="7">
        <v>82.95</v>
      </c>
      <c r="I45" s="7">
        <v>0</v>
      </c>
      <c r="J45" s="7">
        <v>119.95</v>
      </c>
      <c r="K45" s="7">
        <v>110.58</v>
      </c>
      <c r="M45" s="7">
        <v>539</v>
      </c>
      <c r="N45" s="7">
        <v>759.17942000000005</v>
      </c>
      <c r="O45" s="7">
        <v>703.43779000000006</v>
      </c>
      <c r="Q45" s="25">
        <v>6619.13</v>
      </c>
      <c r="R45" s="25">
        <v>6389.11</v>
      </c>
      <c r="S45" s="25">
        <v>6447.34</v>
      </c>
    </row>
    <row r="46" spans="1:19" x14ac:dyDescent="0.2">
      <c r="A46" s="27">
        <v>26</v>
      </c>
      <c r="B46" s="6" t="s">
        <v>33</v>
      </c>
      <c r="C46" s="6">
        <v>37</v>
      </c>
      <c r="D46" s="6">
        <v>0</v>
      </c>
      <c r="E46" s="6">
        <v>202</v>
      </c>
      <c r="F46" s="29">
        <f t="shared" si="2"/>
        <v>239</v>
      </c>
      <c r="H46" s="7">
        <v>126.03</v>
      </c>
      <c r="I46" s="7">
        <v>0</v>
      </c>
      <c r="J46" s="7">
        <v>138.5</v>
      </c>
      <c r="K46" s="7">
        <v>136.66999999999999</v>
      </c>
      <c r="M46" s="7">
        <v>781.3109300000001</v>
      </c>
      <c r="N46" s="7">
        <v>809.08710999999994</v>
      </c>
      <c r="O46" s="7">
        <v>804.96719999999993</v>
      </c>
      <c r="Q46" s="25">
        <v>6326.88</v>
      </c>
      <c r="R46" s="25">
        <v>5935.49</v>
      </c>
      <c r="S46" s="25">
        <v>5993.54</v>
      </c>
    </row>
    <row r="47" spans="1:19" x14ac:dyDescent="0.2">
      <c r="A47" s="27">
        <v>27</v>
      </c>
      <c r="B47" s="6" t="s">
        <v>34</v>
      </c>
      <c r="C47" s="6">
        <v>11</v>
      </c>
      <c r="D47" s="6">
        <v>0</v>
      </c>
      <c r="E47" s="6">
        <v>103</v>
      </c>
      <c r="F47" s="29">
        <f t="shared" si="2"/>
        <v>114</v>
      </c>
      <c r="H47" s="7">
        <v>68.290000000000006</v>
      </c>
      <c r="I47" s="7">
        <v>0</v>
      </c>
      <c r="J47" s="7">
        <v>102.61</v>
      </c>
      <c r="K47" s="7">
        <v>100.28</v>
      </c>
      <c r="M47" s="7">
        <v>371.42856999999998</v>
      </c>
      <c r="N47" s="7">
        <v>486.41622999999998</v>
      </c>
      <c r="O47" s="7">
        <v>478.11815000000001</v>
      </c>
      <c r="Q47" s="25">
        <v>5631.44</v>
      </c>
      <c r="R47" s="25">
        <v>4853.3599999999997</v>
      </c>
      <c r="S47" s="25">
        <v>4909.51</v>
      </c>
    </row>
    <row r="48" spans="1:19" x14ac:dyDescent="0.2">
      <c r="A48" s="27">
        <v>28</v>
      </c>
      <c r="B48" s="6" t="s">
        <v>35</v>
      </c>
      <c r="C48" s="6">
        <v>39</v>
      </c>
      <c r="D48" s="6">
        <v>0</v>
      </c>
      <c r="E48" s="6">
        <v>47</v>
      </c>
      <c r="F48" s="29">
        <f t="shared" si="2"/>
        <v>86</v>
      </c>
      <c r="H48" s="7">
        <v>116.55</v>
      </c>
      <c r="I48" s="7">
        <v>0</v>
      </c>
      <c r="J48" s="7">
        <v>91.88</v>
      </c>
      <c r="K48" s="7">
        <v>103.6</v>
      </c>
      <c r="M48" s="7">
        <v>441.89219000000003</v>
      </c>
      <c r="N48" s="7">
        <v>402.36321000000004</v>
      </c>
      <c r="O48" s="7">
        <v>422.1277</v>
      </c>
      <c r="Q48" s="25">
        <v>4379.32</v>
      </c>
      <c r="R48" s="25">
        <v>4115.03</v>
      </c>
      <c r="S48" s="25">
        <v>4247.17</v>
      </c>
    </row>
    <row r="49" spans="1:19" x14ac:dyDescent="0.2">
      <c r="A49" s="27">
        <v>29</v>
      </c>
      <c r="B49" s="6" t="s">
        <v>36</v>
      </c>
      <c r="C49" s="6">
        <v>5</v>
      </c>
      <c r="D49" s="6">
        <v>0</v>
      </c>
      <c r="E49" s="6">
        <v>15</v>
      </c>
      <c r="F49" s="29">
        <f t="shared" si="2"/>
        <v>20</v>
      </c>
      <c r="H49" s="7">
        <v>72</v>
      </c>
      <c r="I49" s="7">
        <v>0</v>
      </c>
      <c r="J49" s="7">
        <v>73.069999999999993</v>
      </c>
      <c r="K49" s="7">
        <v>72.8</v>
      </c>
      <c r="M49" s="7">
        <v>247.6</v>
      </c>
      <c r="N49" s="7">
        <v>262.584</v>
      </c>
      <c r="O49" s="7">
        <v>258.83800000000002</v>
      </c>
      <c r="Q49" s="25">
        <v>3303.74</v>
      </c>
      <c r="R49" s="25">
        <v>3647.08</v>
      </c>
      <c r="S49" s="25">
        <v>3561.24</v>
      </c>
    </row>
    <row r="50" spans="1:19" x14ac:dyDescent="0.2">
      <c r="A50" s="27">
        <v>30</v>
      </c>
      <c r="B50" s="6" t="s">
        <v>37</v>
      </c>
      <c r="C50" s="6">
        <v>5</v>
      </c>
      <c r="D50" s="6">
        <v>0</v>
      </c>
      <c r="E50" s="6">
        <v>65</v>
      </c>
      <c r="F50" s="29">
        <f t="shared" si="2"/>
        <v>70</v>
      </c>
      <c r="H50" s="7">
        <v>84.5</v>
      </c>
      <c r="I50" s="7">
        <v>0</v>
      </c>
      <c r="J50" s="7">
        <v>86.81</v>
      </c>
      <c r="K50" s="7">
        <v>86.66</v>
      </c>
      <c r="M50" s="7">
        <v>510</v>
      </c>
      <c r="N50" s="7">
        <v>395.80117999999999</v>
      </c>
      <c r="O50" s="7">
        <v>403.16884999999996</v>
      </c>
      <c r="Q50" s="25">
        <v>5972.35</v>
      </c>
      <c r="R50" s="25">
        <v>4853.97</v>
      </c>
      <c r="S50" s="25">
        <v>4926.12</v>
      </c>
    </row>
    <row r="51" spans="1:19" x14ac:dyDescent="0.2">
      <c r="A51" s="27">
        <v>31</v>
      </c>
      <c r="B51" s="6" t="s">
        <v>38</v>
      </c>
      <c r="C51" s="6">
        <v>8</v>
      </c>
      <c r="D51" s="6">
        <v>0</v>
      </c>
      <c r="E51" s="6">
        <v>214</v>
      </c>
      <c r="F51" s="29">
        <f t="shared" si="2"/>
        <v>222</v>
      </c>
      <c r="H51" s="7">
        <v>68</v>
      </c>
      <c r="I51" s="7">
        <v>0</v>
      </c>
      <c r="J51" s="7">
        <v>73.459999999999994</v>
      </c>
      <c r="K51" s="7">
        <v>73.28</v>
      </c>
      <c r="M51" s="7">
        <v>296.83366999999998</v>
      </c>
      <c r="N51" s="7">
        <v>358.10399999999998</v>
      </c>
      <c r="O51" s="7">
        <v>356.09514000000001</v>
      </c>
      <c r="Q51" s="25">
        <v>4724.4399999999996</v>
      </c>
      <c r="R51" s="25">
        <v>4987.71</v>
      </c>
      <c r="S51" s="25">
        <v>4979.08</v>
      </c>
    </row>
    <row r="52" spans="1:19" x14ac:dyDescent="0.2">
      <c r="A52" s="27">
        <v>32</v>
      </c>
      <c r="B52" s="6" t="s">
        <v>39</v>
      </c>
      <c r="C52" s="6">
        <v>6</v>
      </c>
      <c r="D52" s="6">
        <v>0</v>
      </c>
      <c r="E52" s="6">
        <v>146</v>
      </c>
      <c r="F52" s="29">
        <f t="shared" si="2"/>
        <v>152</v>
      </c>
      <c r="H52" s="7">
        <v>101</v>
      </c>
      <c r="I52" s="7">
        <v>0</v>
      </c>
      <c r="J52" s="7">
        <v>75.77</v>
      </c>
      <c r="K52" s="7">
        <v>76.81</v>
      </c>
      <c r="M52" s="7">
        <v>653.70001000000002</v>
      </c>
      <c r="N52" s="7">
        <v>346.31934000000001</v>
      </c>
      <c r="O52" s="7">
        <v>359.21643</v>
      </c>
      <c r="Q52" s="25">
        <v>6662.93</v>
      </c>
      <c r="R52" s="25">
        <v>4644.82</v>
      </c>
      <c r="S52" s="25">
        <v>4729.5</v>
      </c>
    </row>
    <row r="53" spans="1:19" x14ac:dyDescent="0.2">
      <c r="A53" s="27">
        <v>33</v>
      </c>
      <c r="B53" s="6" t="s">
        <v>40</v>
      </c>
      <c r="C53" s="6">
        <v>4</v>
      </c>
      <c r="D53" s="6">
        <v>0</v>
      </c>
      <c r="E53" s="6">
        <v>85</v>
      </c>
      <c r="F53" s="29">
        <f t="shared" si="2"/>
        <v>89</v>
      </c>
      <c r="H53" s="7">
        <v>57</v>
      </c>
      <c r="I53" s="7">
        <v>0</v>
      </c>
      <c r="J53" s="7">
        <v>73.849999999999994</v>
      </c>
      <c r="K53" s="7">
        <v>73.2</v>
      </c>
      <c r="M53" s="7">
        <v>218.66667000000001</v>
      </c>
      <c r="N53" s="7">
        <v>289.81628999999998</v>
      </c>
      <c r="O53" s="7">
        <v>287.07977</v>
      </c>
      <c r="Q53" s="25">
        <v>3809.75</v>
      </c>
      <c r="R53" s="25">
        <v>4117.68</v>
      </c>
      <c r="S53" s="25">
        <v>4105.84</v>
      </c>
    </row>
    <row r="54" spans="1:19" x14ac:dyDescent="0.2">
      <c r="A54" s="27">
        <v>34</v>
      </c>
      <c r="B54" s="6" t="s">
        <v>41</v>
      </c>
      <c r="C54" s="6">
        <v>0</v>
      </c>
      <c r="D54" s="6">
        <v>0</v>
      </c>
      <c r="E54" s="6">
        <v>44</v>
      </c>
      <c r="F54" s="29">
        <f t="shared" si="2"/>
        <v>44</v>
      </c>
      <c r="H54" s="7">
        <v>0</v>
      </c>
      <c r="I54" s="7">
        <v>0</v>
      </c>
      <c r="J54" s="7">
        <v>61.94</v>
      </c>
      <c r="K54" s="7">
        <v>61.94</v>
      </c>
      <c r="M54" s="7">
        <v>0</v>
      </c>
      <c r="N54" s="7">
        <v>192.50707999999997</v>
      </c>
      <c r="O54" s="7">
        <v>192.50707999999997</v>
      </c>
      <c r="Q54" s="25">
        <v>0</v>
      </c>
      <c r="R54" s="25">
        <v>3169.29</v>
      </c>
      <c r="S54" s="25">
        <v>3169.29</v>
      </c>
    </row>
    <row r="55" spans="1:19" x14ac:dyDescent="0.2">
      <c r="A55" s="27">
        <v>35</v>
      </c>
      <c r="B55" s="6" t="s">
        <v>42</v>
      </c>
      <c r="C55" s="6">
        <v>19</v>
      </c>
      <c r="D55" s="6">
        <v>0</v>
      </c>
      <c r="E55" s="6">
        <v>145</v>
      </c>
      <c r="F55" s="29">
        <f t="shared" si="2"/>
        <v>164</v>
      </c>
      <c r="H55" s="7">
        <v>84.16</v>
      </c>
      <c r="I55" s="7">
        <v>0</v>
      </c>
      <c r="J55" s="7">
        <v>74.45</v>
      </c>
      <c r="K55" s="7">
        <v>75.69</v>
      </c>
      <c r="M55" s="7">
        <v>421.94736999999998</v>
      </c>
      <c r="N55" s="7">
        <v>266.66401000000002</v>
      </c>
      <c r="O55" s="7">
        <v>286.73465000000004</v>
      </c>
      <c r="Q55" s="25">
        <v>5071.91</v>
      </c>
      <c r="R55" s="25">
        <v>3696.93</v>
      </c>
      <c r="S55" s="25">
        <v>3874.65</v>
      </c>
    </row>
    <row r="56" spans="1:19" x14ac:dyDescent="0.2">
      <c r="A56" s="27">
        <v>36</v>
      </c>
      <c r="B56" s="6" t="s">
        <v>43</v>
      </c>
      <c r="C56" s="6">
        <v>3</v>
      </c>
      <c r="D56" s="6">
        <v>0</v>
      </c>
      <c r="E56" s="6">
        <v>40</v>
      </c>
      <c r="F56" s="29">
        <f t="shared" si="2"/>
        <v>43</v>
      </c>
      <c r="H56" s="7">
        <v>52.33</v>
      </c>
      <c r="I56" s="7">
        <v>0</v>
      </c>
      <c r="J56" s="7">
        <v>82.27</v>
      </c>
      <c r="K56" s="7">
        <v>80.02</v>
      </c>
      <c r="M56" s="7">
        <v>407.66667000000001</v>
      </c>
      <c r="N56" s="7">
        <v>301.98820000000001</v>
      </c>
      <c r="O56" s="7">
        <v>309.91409000000004</v>
      </c>
      <c r="Q56" s="25">
        <v>8357.2199999999993</v>
      </c>
      <c r="R56" s="25">
        <v>3862.53</v>
      </c>
      <c r="S56" s="25">
        <v>4199.63</v>
      </c>
    </row>
    <row r="57" spans="1:19" x14ac:dyDescent="0.2">
      <c r="A57" s="27">
        <v>37</v>
      </c>
      <c r="B57" s="6" t="s">
        <v>44</v>
      </c>
      <c r="C57" s="6">
        <v>17</v>
      </c>
      <c r="D57" s="6">
        <v>1</v>
      </c>
      <c r="E57" s="6">
        <v>122</v>
      </c>
      <c r="F57" s="29">
        <f t="shared" si="2"/>
        <v>140</v>
      </c>
      <c r="H57" s="7">
        <v>61.38</v>
      </c>
      <c r="I57" s="7">
        <v>85</v>
      </c>
      <c r="J57" s="7">
        <v>61.85</v>
      </c>
      <c r="K57" s="7">
        <v>61.97</v>
      </c>
      <c r="M57" s="7">
        <v>150.40625</v>
      </c>
      <c r="N57" s="7">
        <v>154.32045000000002</v>
      </c>
      <c r="O57" s="7">
        <v>153.81539000000001</v>
      </c>
      <c r="Q57" s="25">
        <v>2482.39</v>
      </c>
      <c r="R57" s="25">
        <v>2650.3</v>
      </c>
      <c r="S57" s="25">
        <v>2628.63</v>
      </c>
    </row>
    <row r="58" spans="1:19" x14ac:dyDescent="0.2">
      <c r="A58" s="27">
        <v>38</v>
      </c>
      <c r="B58" s="6" t="s">
        <v>45</v>
      </c>
      <c r="C58" s="6">
        <v>15</v>
      </c>
      <c r="D58" s="6">
        <v>1</v>
      </c>
      <c r="E58" s="6">
        <v>41</v>
      </c>
      <c r="F58" s="29">
        <f t="shared" si="2"/>
        <v>57</v>
      </c>
      <c r="H58" s="7">
        <v>58.14</v>
      </c>
      <c r="I58" s="7">
        <v>44</v>
      </c>
      <c r="J58" s="7">
        <v>65.739999999999995</v>
      </c>
      <c r="K58" s="7">
        <v>63.37</v>
      </c>
      <c r="M58" s="7">
        <v>168.5</v>
      </c>
      <c r="N58" s="7">
        <v>189.70364000000001</v>
      </c>
      <c r="O58" s="7">
        <v>183.88302999999999</v>
      </c>
      <c r="Q58" s="25">
        <v>2940.8</v>
      </c>
      <c r="R58" s="25">
        <v>2924.56</v>
      </c>
      <c r="S58" s="25">
        <v>2929.02</v>
      </c>
    </row>
    <row r="59" spans="1:19" x14ac:dyDescent="0.2">
      <c r="A59" s="27">
        <v>39</v>
      </c>
      <c r="B59" s="6" t="s">
        <v>46</v>
      </c>
      <c r="C59" s="6">
        <v>17</v>
      </c>
      <c r="D59" s="6">
        <v>1</v>
      </c>
      <c r="E59" s="6">
        <v>19</v>
      </c>
      <c r="F59" s="29">
        <f t="shared" si="2"/>
        <v>37</v>
      </c>
      <c r="H59" s="7">
        <v>73.900000000000006</v>
      </c>
      <c r="I59" s="7">
        <v>67</v>
      </c>
      <c r="J59" s="7">
        <v>83.5</v>
      </c>
      <c r="K59" s="7">
        <v>79.62</v>
      </c>
      <c r="M59" s="7">
        <v>260.39999999999998</v>
      </c>
      <c r="N59" s="7">
        <v>275.41667000000001</v>
      </c>
      <c r="O59" s="7">
        <v>270.05356999999998</v>
      </c>
      <c r="Q59" s="25">
        <v>3525.94</v>
      </c>
      <c r="R59" s="25">
        <v>3326.45</v>
      </c>
      <c r="S59" s="25">
        <v>3397.7</v>
      </c>
    </row>
    <row r="60" spans="1:19" x14ac:dyDescent="0.2">
      <c r="A60" s="27">
        <v>40</v>
      </c>
      <c r="B60" s="6" t="s">
        <v>47</v>
      </c>
      <c r="C60" s="6">
        <v>1</v>
      </c>
      <c r="D60" s="6">
        <v>0</v>
      </c>
      <c r="E60" s="6">
        <v>15</v>
      </c>
      <c r="F60" s="29">
        <f t="shared" si="2"/>
        <v>16</v>
      </c>
      <c r="H60" s="7">
        <v>64</v>
      </c>
      <c r="I60" s="7">
        <v>0</v>
      </c>
      <c r="J60" s="7">
        <v>60.64</v>
      </c>
      <c r="K60" s="7">
        <v>60.86</v>
      </c>
      <c r="M60" s="7">
        <v>0</v>
      </c>
      <c r="N60" s="7">
        <v>175.71875</v>
      </c>
      <c r="O60" s="7">
        <v>173.74038000000002</v>
      </c>
      <c r="Q60" s="25">
        <v>0</v>
      </c>
      <c r="R60" s="25">
        <v>2975.08</v>
      </c>
      <c r="S60" s="25">
        <v>2926.52</v>
      </c>
    </row>
    <row r="61" spans="1:19" x14ac:dyDescent="0.2">
      <c r="A61" s="27">
        <v>41</v>
      </c>
      <c r="B61" s="6" t="s">
        <v>48</v>
      </c>
      <c r="C61" s="6">
        <v>2</v>
      </c>
      <c r="D61" s="6">
        <v>0</v>
      </c>
      <c r="E61" s="6">
        <v>14</v>
      </c>
      <c r="F61" s="29">
        <f t="shared" si="2"/>
        <v>16</v>
      </c>
      <c r="H61" s="7">
        <v>50</v>
      </c>
      <c r="I61" s="7">
        <v>0</v>
      </c>
      <c r="J61" s="7">
        <v>63.15</v>
      </c>
      <c r="K61" s="7">
        <v>62.21</v>
      </c>
      <c r="M61" s="7">
        <v>0</v>
      </c>
      <c r="N61" s="7">
        <v>236.23076999999998</v>
      </c>
      <c r="O61" s="7">
        <v>236</v>
      </c>
      <c r="Q61" s="25">
        <v>0</v>
      </c>
      <c r="R61" s="25">
        <v>3842.05</v>
      </c>
      <c r="S61" s="25">
        <v>3900.47</v>
      </c>
    </row>
    <row r="62" spans="1:19" x14ac:dyDescent="0.2">
      <c r="A62" s="27">
        <v>42</v>
      </c>
      <c r="B62" s="6" t="s">
        <v>49</v>
      </c>
      <c r="C62" s="6">
        <v>77</v>
      </c>
      <c r="D62" s="6">
        <v>0</v>
      </c>
      <c r="E62" s="6">
        <v>0</v>
      </c>
      <c r="F62" s="29">
        <f t="shared" si="2"/>
        <v>77</v>
      </c>
      <c r="H62" s="7">
        <v>88.52</v>
      </c>
      <c r="I62" s="7">
        <v>0</v>
      </c>
      <c r="J62" s="7">
        <v>0</v>
      </c>
      <c r="K62" s="7">
        <v>88.52</v>
      </c>
      <c r="M62" s="7">
        <v>364.31423000000001</v>
      </c>
      <c r="N62" s="7">
        <v>0</v>
      </c>
      <c r="O62" s="7">
        <v>364.31423000000001</v>
      </c>
      <c r="Q62" s="25">
        <v>4041.18</v>
      </c>
      <c r="R62" s="25">
        <v>0</v>
      </c>
      <c r="S62" s="25">
        <v>4041.18</v>
      </c>
    </row>
    <row r="63" spans="1:19" x14ac:dyDescent="0.2">
      <c r="A63" s="27">
        <v>43</v>
      </c>
      <c r="B63" s="6" t="s">
        <v>50</v>
      </c>
      <c r="C63" s="6">
        <v>13</v>
      </c>
      <c r="D63" s="6">
        <v>3</v>
      </c>
      <c r="E63" s="6">
        <v>86</v>
      </c>
      <c r="F63" s="29">
        <f t="shared" si="2"/>
        <v>102</v>
      </c>
      <c r="H63" s="7">
        <v>95.64</v>
      </c>
      <c r="I63" s="7">
        <v>66</v>
      </c>
      <c r="J63" s="7">
        <v>68.099999999999994</v>
      </c>
      <c r="K63" s="7">
        <v>71.63</v>
      </c>
      <c r="M63" s="7">
        <v>420.06364000000002</v>
      </c>
      <c r="N63" s="7">
        <v>239.2834</v>
      </c>
      <c r="O63" s="7">
        <v>273.56930999999997</v>
      </c>
      <c r="Q63" s="25">
        <v>4635.68</v>
      </c>
      <c r="R63" s="25">
        <v>3534.22</v>
      </c>
      <c r="S63" s="25">
        <v>3743.12</v>
      </c>
    </row>
    <row r="64" spans="1:19" x14ac:dyDescent="0.2">
      <c r="A64" s="27">
        <v>44</v>
      </c>
      <c r="B64" s="6" t="s">
        <v>51</v>
      </c>
      <c r="C64" s="6">
        <v>2</v>
      </c>
      <c r="D64" s="6">
        <v>0</v>
      </c>
      <c r="E64" s="6">
        <v>105</v>
      </c>
      <c r="F64" s="29">
        <f t="shared" si="2"/>
        <v>107</v>
      </c>
      <c r="H64" s="7">
        <v>0</v>
      </c>
      <c r="I64" s="7">
        <v>0</v>
      </c>
      <c r="J64" s="7">
        <v>70.56</v>
      </c>
      <c r="K64" s="7">
        <v>70.56</v>
      </c>
      <c r="M64" s="7">
        <v>0</v>
      </c>
      <c r="N64" s="7">
        <v>241.74356</v>
      </c>
      <c r="O64" s="7">
        <v>241.74356</v>
      </c>
      <c r="Q64" s="25">
        <v>0</v>
      </c>
      <c r="R64" s="25">
        <v>3431.78</v>
      </c>
      <c r="S64" s="25">
        <v>3431.78</v>
      </c>
    </row>
    <row r="65" spans="1:19" x14ac:dyDescent="0.2">
      <c r="A65" s="27">
        <v>45</v>
      </c>
      <c r="B65" s="6" t="s">
        <v>52</v>
      </c>
      <c r="C65" s="6">
        <v>2</v>
      </c>
      <c r="D65" s="6">
        <v>0</v>
      </c>
      <c r="E65" s="6">
        <v>92</v>
      </c>
      <c r="F65" s="29">
        <f t="shared" si="2"/>
        <v>94</v>
      </c>
      <c r="H65" s="7">
        <v>65.5</v>
      </c>
      <c r="I65" s="7">
        <v>0</v>
      </c>
      <c r="J65" s="7">
        <v>65.63</v>
      </c>
      <c r="K65" s="7">
        <v>65.63</v>
      </c>
      <c r="M65" s="7">
        <v>0</v>
      </c>
      <c r="N65" s="7">
        <v>199.15835000000001</v>
      </c>
      <c r="O65" s="7">
        <v>195.45807000000002</v>
      </c>
      <c r="Q65" s="25">
        <v>0</v>
      </c>
      <c r="R65" s="25">
        <v>2979.3</v>
      </c>
      <c r="S65" s="25">
        <v>2924.89</v>
      </c>
    </row>
    <row r="66" spans="1:19" x14ac:dyDescent="0.2">
      <c r="A66" s="27">
        <v>46</v>
      </c>
      <c r="B66" s="6" t="s">
        <v>53</v>
      </c>
      <c r="C66" s="6">
        <v>0</v>
      </c>
      <c r="D66" s="6">
        <v>0</v>
      </c>
      <c r="E66" s="6">
        <v>81</v>
      </c>
      <c r="F66" s="29">
        <f t="shared" si="2"/>
        <v>81</v>
      </c>
      <c r="H66" s="7">
        <v>0</v>
      </c>
      <c r="I66" s="7">
        <v>0</v>
      </c>
      <c r="J66" s="7">
        <v>63.17</v>
      </c>
      <c r="K66" s="7">
        <v>63.17</v>
      </c>
      <c r="M66" s="7">
        <v>0</v>
      </c>
      <c r="N66" s="7">
        <v>158.26904999999999</v>
      </c>
      <c r="O66" s="7">
        <v>158.26904999999999</v>
      </c>
      <c r="Q66" s="25">
        <v>0</v>
      </c>
      <c r="R66" s="25">
        <v>2500.12</v>
      </c>
      <c r="S66" s="25">
        <v>2500.12</v>
      </c>
    </row>
    <row r="67" spans="1:19" x14ac:dyDescent="0.2">
      <c r="A67" s="27">
        <v>47</v>
      </c>
      <c r="B67" s="6" t="s">
        <v>54</v>
      </c>
      <c r="C67" s="6">
        <v>0</v>
      </c>
      <c r="D67" s="6">
        <v>0</v>
      </c>
      <c r="E67" s="6">
        <v>0</v>
      </c>
      <c r="F67" s="29">
        <f t="shared" si="2"/>
        <v>0</v>
      </c>
      <c r="H67" s="7">
        <v>0</v>
      </c>
      <c r="I67" s="7">
        <v>0</v>
      </c>
      <c r="J67" s="7">
        <v>0</v>
      </c>
      <c r="K67" s="7">
        <v>0</v>
      </c>
      <c r="M67" s="7">
        <v>0</v>
      </c>
      <c r="N67" s="7">
        <v>0</v>
      </c>
      <c r="O67" s="7">
        <v>0</v>
      </c>
      <c r="Q67" s="25">
        <v>0</v>
      </c>
      <c r="R67" s="25">
        <v>0</v>
      </c>
      <c r="S67" s="25">
        <v>0</v>
      </c>
    </row>
    <row r="68" spans="1:19" x14ac:dyDescent="0.2">
      <c r="A68" s="27">
        <v>48</v>
      </c>
      <c r="B68" s="6" t="s">
        <v>55</v>
      </c>
      <c r="C68" s="6">
        <v>0</v>
      </c>
      <c r="D68" s="6">
        <v>0</v>
      </c>
      <c r="E68" s="6">
        <v>52</v>
      </c>
      <c r="F68" s="29">
        <f t="shared" si="2"/>
        <v>52</v>
      </c>
      <c r="H68" s="7">
        <v>0</v>
      </c>
      <c r="I68" s="7">
        <v>0</v>
      </c>
      <c r="J68" s="7">
        <v>72.599999999999994</v>
      </c>
      <c r="K68" s="7">
        <v>72.599999999999994</v>
      </c>
      <c r="M68" s="7">
        <v>0</v>
      </c>
      <c r="N68" s="7">
        <v>204.88106999999999</v>
      </c>
      <c r="O68" s="7">
        <v>204.88106999999999</v>
      </c>
      <c r="Q68" s="25">
        <v>0</v>
      </c>
      <c r="R68" s="25">
        <v>2830.69</v>
      </c>
      <c r="S68" s="25">
        <v>2830.69</v>
      </c>
    </row>
    <row r="69" spans="1:19" x14ac:dyDescent="0.2">
      <c r="A69" s="27">
        <v>49</v>
      </c>
      <c r="B69" s="6" t="s">
        <v>56</v>
      </c>
      <c r="C69" s="6">
        <v>0</v>
      </c>
      <c r="D69" s="6">
        <v>0</v>
      </c>
      <c r="E69" s="6">
        <v>15</v>
      </c>
      <c r="F69" s="29">
        <f t="shared" si="2"/>
        <v>15</v>
      </c>
      <c r="H69" s="7">
        <v>0</v>
      </c>
      <c r="I69" s="7">
        <v>0</v>
      </c>
      <c r="J69" s="7">
        <v>67.849999999999994</v>
      </c>
      <c r="K69" s="7">
        <v>67.849999999999994</v>
      </c>
      <c r="M69" s="7">
        <v>0</v>
      </c>
      <c r="N69" s="7">
        <v>179.58332999999999</v>
      </c>
      <c r="O69" s="7">
        <v>179.58332999999999</v>
      </c>
      <c r="Q69" s="25">
        <v>0</v>
      </c>
      <c r="R69" s="25">
        <v>2905.94</v>
      </c>
      <c r="S69" s="25">
        <v>2905.94</v>
      </c>
    </row>
    <row r="70" spans="1:19" x14ac:dyDescent="0.2">
      <c r="A70" s="27">
        <v>50</v>
      </c>
      <c r="B70" s="6" t="s">
        <v>57</v>
      </c>
      <c r="C70" s="6">
        <v>0</v>
      </c>
      <c r="D70" s="6">
        <v>0</v>
      </c>
      <c r="E70" s="6">
        <v>93</v>
      </c>
      <c r="F70" s="29">
        <f t="shared" si="2"/>
        <v>93</v>
      </c>
      <c r="H70" s="7">
        <v>0</v>
      </c>
      <c r="I70" s="7">
        <v>0</v>
      </c>
      <c r="J70" s="7">
        <v>59.19</v>
      </c>
      <c r="K70" s="7">
        <v>59.19</v>
      </c>
      <c r="M70" s="7">
        <v>0</v>
      </c>
      <c r="N70" s="7">
        <v>133.11111</v>
      </c>
      <c r="O70" s="7">
        <v>133.11111</v>
      </c>
      <c r="Q70" s="25">
        <v>0</v>
      </c>
      <c r="R70" s="25">
        <v>2344.9299999999998</v>
      </c>
      <c r="S70" s="25">
        <v>2344.9299999999998</v>
      </c>
    </row>
    <row r="71" spans="1:19" x14ac:dyDescent="0.2">
      <c r="A71" s="27">
        <v>51</v>
      </c>
      <c r="B71" s="6" t="s">
        <v>58</v>
      </c>
      <c r="C71" s="6">
        <v>1</v>
      </c>
      <c r="D71" s="6">
        <v>0</v>
      </c>
      <c r="E71" s="6">
        <v>60</v>
      </c>
      <c r="F71" s="29">
        <f t="shared" si="2"/>
        <v>61</v>
      </c>
      <c r="H71" s="7">
        <v>66</v>
      </c>
      <c r="I71" s="7">
        <v>0</v>
      </c>
      <c r="J71" s="7">
        <v>59.56</v>
      </c>
      <c r="K71" s="7">
        <v>59.67</v>
      </c>
      <c r="M71" s="7">
        <v>0</v>
      </c>
      <c r="N71" s="7">
        <v>146.90476000000001</v>
      </c>
      <c r="O71" s="7">
        <v>148.72726999999998</v>
      </c>
      <c r="Q71" s="25">
        <v>0</v>
      </c>
      <c r="R71" s="25">
        <v>2469.3200000000002</v>
      </c>
      <c r="S71" s="25">
        <v>2485.87</v>
      </c>
    </row>
    <row r="72" spans="1:19" x14ac:dyDescent="0.2">
      <c r="A72" s="27">
        <v>52</v>
      </c>
      <c r="B72" s="6" t="s">
        <v>59</v>
      </c>
      <c r="C72" s="6">
        <v>1</v>
      </c>
      <c r="D72" s="6">
        <v>0</v>
      </c>
      <c r="E72" s="6">
        <v>127</v>
      </c>
      <c r="F72" s="29">
        <f t="shared" si="2"/>
        <v>128</v>
      </c>
      <c r="H72" s="7">
        <v>47</v>
      </c>
      <c r="I72" s="7">
        <v>0</v>
      </c>
      <c r="J72" s="7">
        <v>60.81</v>
      </c>
      <c r="K72" s="7">
        <v>60.68</v>
      </c>
      <c r="M72" s="7">
        <v>0</v>
      </c>
      <c r="N72" s="7">
        <v>166.49539000000001</v>
      </c>
      <c r="O72" s="7">
        <v>166.20099999999999</v>
      </c>
      <c r="Q72" s="25">
        <v>0</v>
      </c>
      <c r="R72" s="25">
        <v>2791.2</v>
      </c>
      <c r="S72" s="25">
        <v>2793.28</v>
      </c>
    </row>
    <row r="73" spans="1:19" x14ac:dyDescent="0.2">
      <c r="A73" s="27">
        <v>53</v>
      </c>
      <c r="B73" s="6" t="s">
        <v>60</v>
      </c>
      <c r="C73" s="6">
        <v>0</v>
      </c>
      <c r="D73" s="6">
        <v>0</v>
      </c>
      <c r="E73" s="6">
        <v>46</v>
      </c>
      <c r="F73" s="29">
        <f t="shared" si="2"/>
        <v>46</v>
      </c>
      <c r="H73" s="7">
        <v>0</v>
      </c>
      <c r="I73" s="7">
        <v>0</v>
      </c>
      <c r="J73" s="7">
        <v>62.07</v>
      </c>
      <c r="K73" s="7">
        <v>62.07</v>
      </c>
      <c r="M73" s="7">
        <v>0</v>
      </c>
      <c r="N73" s="7">
        <v>128.2475</v>
      </c>
      <c r="O73" s="7">
        <v>128.2475</v>
      </c>
      <c r="Q73" s="25">
        <v>0</v>
      </c>
      <c r="R73" s="25">
        <v>2215.04</v>
      </c>
      <c r="S73" s="25">
        <v>2215.04</v>
      </c>
    </row>
    <row r="74" spans="1:19" x14ac:dyDescent="0.2">
      <c r="A74" s="27">
        <v>54</v>
      </c>
      <c r="B74" s="6" t="s">
        <v>61</v>
      </c>
      <c r="C74" s="6">
        <v>0</v>
      </c>
      <c r="D74" s="6">
        <v>0</v>
      </c>
      <c r="E74" s="6">
        <v>5</v>
      </c>
      <c r="F74" s="29">
        <f t="shared" si="2"/>
        <v>5</v>
      </c>
      <c r="H74" s="7">
        <v>0</v>
      </c>
      <c r="I74" s="7">
        <v>0</v>
      </c>
      <c r="J74" s="7">
        <v>118.6</v>
      </c>
      <c r="K74" s="7">
        <v>118.6</v>
      </c>
      <c r="M74" s="7">
        <v>0</v>
      </c>
      <c r="N74" s="7">
        <v>148.33332999999999</v>
      </c>
      <c r="O74" s="7">
        <v>148.33332999999999</v>
      </c>
      <c r="Q74" s="25">
        <v>0</v>
      </c>
      <c r="R74" s="25">
        <v>988.07</v>
      </c>
      <c r="S74" s="25">
        <v>988.07</v>
      </c>
    </row>
    <row r="75" spans="1:19" x14ac:dyDescent="0.2">
      <c r="A75" s="27">
        <v>55</v>
      </c>
      <c r="B75" s="6" t="s">
        <v>62</v>
      </c>
      <c r="C75" s="6">
        <v>0</v>
      </c>
      <c r="D75" s="6">
        <v>0</v>
      </c>
      <c r="E75" s="6">
        <v>84</v>
      </c>
      <c r="F75" s="29">
        <f t="shared" si="2"/>
        <v>84</v>
      </c>
      <c r="H75" s="7">
        <v>0</v>
      </c>
      <c r="I75" s="7">
        <v>0</v>
      </c>
      <c r="J75" s="7">
        <v>58.66</v>
      </c>
      <c r="K75" s="7">
        <v>58.66</v>
      </c>
      <c r="M75" s="7">
        <v>0</v>
      </c>
      <c r="N75" s="7">
        <v>105.75</v>
      </c>
      <c r="O75" s="7">
        <v>105.75</v>
      </c>
      <c r="Q75" s="25">
        <v>0</v>
      </c>
      <c r="R75" s="25">
        <v>1736.92</v>
      </c>
      <c r="S75" s="25">
        <v>1736.92</v>
      </c>
    </row>
    <row r="76" spans="1:19" x14ac:dyDescent="0.2">
      <c r="A76" s="27">
        <v>56</v>
      </c>
      <c r="B76" s="6" t="s">
        <v>80</v>
      </c>
      <c r="C76" s="6">
        <v>0</v>
      </c>
      <c r="D76" s="6">
        <v>0</v>
      </c>
      <c r="E76" s="6">
        <v>1</v>
      </c>
      <c r="F76" s="29">
        <f t="shared" si="2"/>
        <v>1</v>
      </c>
      <c r="H76" s="7">
        <v>0</v>
      </c>
      <c r="I76" s="7">
        <v>0</v>
      </c>
      <c r="J76" s="7">
        <v>71</v>
      </c>
      <c r="K76" s="7">
        <v>71</v>
      </c>
      <c r="M76" s="7">
        <v>0</v>
      </c>
      <c r="N76" s="7">
        <v>0</v>
      </c>
      <c r="O76" s="7">
        <v>0</v>
      </c>
      <c r="Q76" s="25">
        <v>0</v>
      </c>
      <c r="R76" s="25">
        <v>0</v>
      </c>
      <c r="S76" s="25">
        <v>0</v>
      </c>
    </row>
    <row r="77" spans="1:19" x14ac:dyDescent="0.2">
      <c r="A77" s="27">
        <v>57</v>
      </c>
      <c r="B77" s="6" t="s">
        <v>63</v>
      </c>
      <c r="C77" s="6">
        <v>11</v>
      </c>
      <c r="D77" s="6">
        <v>0</v>
      </c>
      <c r="E77" s="6">
        <v>72</v>
      </c>
      <c r="F77" s="29">
        <f t="shared" si="2"/>
        <v>83</v>
      </c>
      <c r="H77" s="7">
        <v>61.73</v>
      </c>
      <c r="I77" s="7">
        <v>0</v>
      </c>
      <c r="J77" s="7">
        <v>59.81</v>
      </c>
      <c r="K77" s="7">
        <v>60.07</v>
      </c>
      <c r="M77" s="7">
        <v>229.33440999999999</v>
      </c>
      <c r="N77" s="7">
        <v>125.506</v>
      </c>
      <c r="O77" s="7">
        <v>154.79094000000001</v>
      </c>
      <c r="Q77" s="25">
        <v>3802.74</v>
      </c>
      <c r="R77" s="25">
        <v>2139.6</v>
      </c>
      <c r="S77" s="25">
        <v>2608.69</v>
      </c>
    </row>
    <row r="78" spans="1:19" x14ac:dyDescent="0.2">
      <c r="A78" s="27">
        <v>58</v>
      </c>
      <c r="B78" s="6" t="s">
        <v>64</v>
      </c>
      <c r="C78" s="6">
        <v>0</v>
      </c>
      <c r="D78" s="6">
        <v>0</v>
      </c>
      <c r="E78" s="6">
        <v>16</v>
      </c>
      <c r="F78" s="29">
        <f t="shared" si="2"/>
        <v>16</v>
      </c>
      <c r="H78" s="7">
        <v>0</v>
      </c>
      <c r="I78" s="7">
        <v>0</v>
      </c>
      <c r="J78" s="7">
        <v>71.13</v>
      </c>
      <c r="K78" s="7">
        <v>71.13</v>
      </c>
      <c r="M78" s="7">
        <v>0</v>
      </c>
      <c r="N78" s="7">
        <v>0</v>
      </c>
      <c r="O78" s="7">
        <v>0</v>
      </c>
      <c r="Q78" s="25">
        <v>0</v>
      </c>
      <c r="R78" s="25">
        <v>0</v>
      </c>
      <c r="S78" s="25">
        <v>0</v>
      </c>
    </row>
    <row r="79" spans="1:19" x14ac:dyDescent="0.2">
      <c r="A79" s="27">
        <v>59</v>
      </c>
      <c r="B79" s="6" t="s">
        <v>65</v>
      </c>
      <c r="C79" s="6">
        <v>6</v>
      </c>
      <c r="D79" s="6">
        <v>6</v>
      </c>
      <c r="E79" s="6">
        <v>52</v>
      </c>
      <c r="F79" s="29">
        <f t="shared" si="2"/>
        <v>64</v>
      </c>
      <c r="H79" s="7">
        <v>80</v>
      </c>
      <c r="I79" s="7">
        <v>76.67</v>
      </c>
      <c r="J79" s="7">
        <v>69.02</v>
      </c>
      <c r="K79" s="7">
        <v>70.849999999999994</v>
      </c>
      <c r="M79" s="7">
        <v>141.92010999999999</v>
      </c>
      <c r="N79" s="7">
        <v>168.38656</v>
      </c>
      <c r="O79" s="7">
        <v>165.39035999999999</v>
      </c>
      <c r="Q79" s="25">
        <v>1700.6</v>
      </c>
      <c r="R79" s="25">
        <v>2373.98</v>
      </c>
      <c r="S79" s="25">
        <v>2297.75</v>
      </c>
    </row>
    <row r="80" spans="1:19" x14ac:dyDescent="0.2">
      <c r="A80" s="27">
        <v>60</v>
      </c>
      <c r="B80" s="6" t="s">
        <v>66</v>
      </c>
      <c r="C80" s="6">
        <v>2</v>
      </c>
      <c r="D80" s="6">
        <v>0</v>
      </c>
      <c r="E80" s="6">
        <v>203</v>
      </c>
      <c r="F80" s="29">
        <f t="shared" si="2"/>
        <v>205</v>
      </c>
      <c r="H80" s="7">
        <v>86.5</v>
      </c>
      <c r="I80" s="7">
        <v>0</v>
      </c>
      <c r="J80" s="7">
        <v>74.459999999999994</v>
      </c>
      <c r="K80" s="7">
        <v>74.58</v>
      </c>
      <c r="M80" s="7">
        <v>0</v>
      </c>
      <c r="N80" s="7">
        <v>277.71083000000004</v>
      </c>
      <c r="O80" s="7">
        <v>278.39370000000002</v>
      </c>
      <c r="Q80" s="25">
        <v>0</v>
      </c>
      <c r="R80" s="25">
        <v>3647.76</v>
      </c>
      <c r="S80" s="25">
        <v>3649.38</v>
      </c>
    </row>
    <row r="81" spans="1:19" x14ac:dyDescent="0.2">
      <c r="A81" s="27">
        <v>61</v>
      </c>
      <c r="B81" s="6" t="s">
        <v>67</v>
      </c>
      <c r="C81" s="6">
        <v>0</v>
      </c>
      <c r="D81" s="6">
        <v>0</v>
      </c>
      <c r="E81" s="6">
        <v>98</v>
      </c>
      <c r="F81" s="29">
        <f t="shared" si="2"/>
        <v>98</v>
      </c>
      <c r="H81" s="7">
        <v>0</v>
      </c>
      <c r="I81" s="7">
        <v>0</v>
      </c>
      <c r="J81" s="7">
        <v>68.64</v>
      </c>
      <c r="K81" s="7">
        <v>68.64</v>
      </c>
      <c r="M81" s="7">
        <v>0</v>
      </c>
      <c r="N81" s="7">
        <v>236.69897</v>
      </c>
      <c r="O81" s="7">
        <v>236.69897</v>
      </c>
      <c r="Q81" s="25">
        <v>0</v>
      </c>
      <c r="R81" s="25">
        <v>3587.34</v>
      </c>
      <c r="S81" s="25">
        <v>3587.34</v>
      </c>
    </row>
    <row r="82" spans="1:19" x14ac:dyDescent="0.2">
      <c r="A82" s="27">
        <v>62</v>
      </c>
      <c r="B82" s="6" t="s">
        <v>68</v>
      </c>
      <c r="C82" s="6">
        <v>0</v>
      </c>
      <c r="D82" s="6">
        <v>0</v>
      </c>
      <c r="E82" s="6">
        <v>61</v>
      </c>
      <c r="F82" s="29">
        <f t="shared" si="2"/>
        <v>61</v>
      </c>
      <c r="H82" s="7">
        <v>0</v>
      </c>
      <c r="I82" s="7">
        <v>0</v>
      </c>
      <c r="J82" s="7">
        <v>73.27</v>
      </c>
      <c r="K82" s="7">
        <v>73.27</v>
      </c>
      <c r="M82" s="7">
        <v>0</v>
      </c>
      <c r="N82" s="7">
        <v>267.98955999999998</v>
      </c>
      <c r="O82" s="7">
        <v>267.98955999999998</v>
      </c>
      <c r="Q82" s="25">
        <v>0</v>
      </c>
      <c r="R82" s="25">
        <v>3653.66</v>
      </c>
      <c r="S82" s="25">
        <v>3653.66</v>
      </c>
    </row>
    <row r="83" spans="1:19" x14ac:dyDescent="0.2">
      <c r="A83" s="27">
        <v>63</v>
      </c>
      <c r="B83" s="1" t="s">
        <v>69</v>
      </c>
      <c r="C83" s="6">
        <v>2</v>
      </c>
      <c r="D83" s="6">
        <v>0</v>
      </c>
      <c r="E83" s="6">
        <v>104</v>
      </c>
      <c r="F83" s="29">
        <f t="shared" si="2"/>
        <v>106</v>
      </c>
      <c r="H83" s="7">
        <v>80</v>
      </c>
      <c r="I83" s="7">
        <v>0</v>
      </c>
      <c r="J83" s="7">
        <v>77.180000000000007</v>
      </c>
      <c r="K83" s="7">
        <v>77.209999999999994</v>
      </c>
      <c r="M83" s="7">
        <v>0</v>
      </c>
      <c r="N83" s="7">
        <v>333.71451000000002</v>
      </c>
      <c r="O83" s="7">
        <v>334.85048</v>
      </c>
      <c r="Q83" s="25">
        <v>0</v>
      </c>
      <c r="R83" s="25">
        <v>4265.25</v>
      </c>
      <c r="S83" s="25">
        <v>4278.32</v>
      </c>
    </row>
    <row r="84" spans="1:19" x14ac:dyDescent="0.2">
      <c r="A84" s="27">
        <v>64</v>
      </c>
      <c r="B84" s="1" t="s">
        <v>70</v>
      </c>
      <c r="C84" s="6">
        <v>2</v>
      </c>
      <c r="D84" s="6">
        <v>0</v>
      </c>
      <c r="E84" s="6">
        <v>134</v>
      </c>
      <c r="F84" s="29">
        <f t="shared" si="2"/>
        <v>136</v>
      </c>
      <c r="H84" s="7">
        <v>62</v>
      </c>
      <c r="I84" s="7">
        <v>0</v>
      </c>
      <c r="J84" s="7">
        <v>72.61</v>
      </c>
      <c r="K84" s="7">
        <v>72.430000000000007</v>
      </c>
      <c r="M84" s="7">
        <v>0</v>
      </c>
      <c r="N84" s="7">
        <v>280.71402</v>
      </c>
      <c r="O84" s="7">
        <v>281.44322999999997</v>
      </c>
      <c r="Q84" s="25">
        <v>0</v>
      </c>
      <c r="R84" s="25">
        <v>4008.37</v>
      </c>
      <c r="S84" s="25">
        <v>4027.9</v>
      </c>
    </row>
    <row r="85" spans="1:19" x14ac:dyDescent="0.2">
      <c r="A85" s="27">
        <v>65</v>
      </c>
      <c r="B85" s="1" t="s">
        <v>71</v>
      </c>
      <c r="C85" s="6">
        <v>9</v>
      </c>
      <c r="D85" s="6">
        <v>0</v>
      </c>
      <c r="E85" s="6">
        <v>84</v>
      </c>
      <c r="F85" s="29">
        <f t="shared" ref="F85:F93" si="3">SUM(C85:E85)</f>
        <v>93</v>
      </c>
      <c r="H85" s="7">
        <v>60.67</v>
      </c>
      <c r="I85" s="7">
        <v>0</v>
      </c>
      <c r="J85" s="7">
        <v>71.790000000000006</v>
      </c>
      <c r="K85" s="7">
        <v>70.64</v>
      </c>
      <c r="M85" s="7">
        <v>274.22221999999999</v>
      </c>
      <c r="N85" s="7">
        <v>264.98160999999999</v>
      </c>
      <c r="O85" s="7">
        <v>266.78955999999999</v>
      </c>
      <c r="Q85" s="25">
        <v>4432.8599999999997</v>
      </c>
      <c r="R85" s="25">
        <v>3788.71</v>
      </c>
      <c r="S85" s="25">
        <v>3914.74</v>
      </c>
    </row>
    <row r="86" spans="1:19" x14ac:dyDescent="0.2">
      <c r="A86" s="27">
        <v>66</v>
      </c>
      <c r="B86" s="1" t="s">
        <v>72</v>
      </c>
      <c r="C86" s="6">
        <v>9</v>
      </c>
      <c r="D86" s="6">
        <v>1</v>
      </c>
      <c r="E86" s="6">
        <v>65</v>
      </c>
      <c r="F86" s="29">
        <f t="shared" si="3"/>
        <v>75</v>
      </c>
      <c r="H86" s="7">
        <v>105</v>
      </c>
      <c r="I86" s="7">
        <v>56</v>
      </c>
      <c r="J86" s="7">
        <v>77.37</v>
      </c>
      <c r="K86" s="7">
        <v>80.53</v>
      </c>
      <c r="M86" s="7">
        <v>689.56667000000004</v>
      </c>
      <c r="N86" s="7">
        <v>368.51206999999999</v>
      </c>
      <c r="O86" s="7">
        <v>409.79052000000001</v>
      </c>
      <c r="Q86" s="25">
        <v>6414.94</v>
      </c>
      <c r="R86" s="25">
        <v>4822.38</v>
      </c>
      <c r="S86" s="25">
        <v>5027.1400000000003</v>
      </c>
    </row>
    <row r="87" spans="1:19" x14ac:dyDescent="0.2">
      <c r="A87" s="27">
        <v>67</v>
      </c>
      <c r="B87" s="1" t="s">
        <v>73</v>
      </c>
      <c r="C87" s="6">
        <v>0</v>
      </c>
      <c r="D87" s="6">
        <v>0</v>
      </c>
      <c r="E87" s="6">
        <v>19</v>
      </c>
      <c r="F87" s="29">
        <f t="shared" si="3"/>
        <v>19</v>
      </c>
      <c r="H87" s="7">
        <v>0</v>
      </c>
      <c r="I87" s="7">
        <v>0</v>
      </c>
      <c r="J87" s="7">
        <v>100.63</v>
      </c>
      <c r="K87" s="7">
        <v>100.63</v>
      </c>
      <c r="M87" s="7">
        <v>0</v>
      </c>
      <c r="N87" s="7">
        <v>541.37221</v>
      </c>
      <c r="O87" s="7">
        <v>541.37221</v>
      </c>
      <c r="Q87" s="25">
        <v>0</v>
      </c>
      <c r="R87" s="25">
        <v>5440.02</v>
      </c>
      <c r="S87" s="25">
        <v>5440.02</v>
      </c>
    </row>
    <row r="88" spans="1:19" x14ac:dyDescent="0.2">
      <c r="A88" s="27">
        <v>68</v>
      </c>
      <c r="B88" s="1" t="s">
        <v>74</v>
      </c>
      <c r="C88" s="6">
        <v>45</v>
      </c>
      <c r="D88" s="6">
        <v>24</v>
      </c>
      <c r="E88" s="6">
        <v>120</v>
      </c>
      <c r="F88" s="29">
        <f t="shared" si="3"/>
        <v>189</v>
      </c>
      <c r="H88" s="7">
        <v>60.98</v>
      </c>
      <c r="I88" s="7">
        <v>57.5</v>
      </c>
      <c r="J88" s="7">
        <v>76.28</v>
      </c>
      <c r="K88" s="7">
        <v>70.36</v>
      </c>
      <c r="M88" s="7">
        <v>395.36048999999997</v>
      </c>
      <c r="N88" s="7">
        <v>378.22030000000001</v>
      </c>
      <c r="O88" s="7">
        <v>383.00620000000004</v>
      </c>
      <c r="Q88" s="25">
        <v>6469.79</v>
      </c>
      <c r="R88" s="25">
        <v>4968.1899999999996</v>
      </c>
      <c r="S88" s="25">
        <v>5387.47</v>
      </c>
    </row>
    <row r="89" spans="1:19" x14ac:dyDescent="0.2">
      <c r="A89" s="27">
        <v>69</v>
      </c>
      <c r="B89" s="1" t="s">
        <v>75</v>
      </c>
      <c r="C89" s="6">
        <v>15</v>
      </c>
      <c r="D89" s="6">
        <v>2</v>
      </c>
      <c r="E89" s="6">
        <v>61</v>
      </c>
      <c r="F89" s="29">
        <f t="shared" si="3"/>
        <v>78</v>
      </c>
      <c r="H89" s="7">
        <v>78.23</v>
      </c>
      <c r="I89" s="7">
        <v>69.5</v>
      </c>
      <c r="J89" s="7">
        <v>99.51</v>
      </c>
      <c r="K89" s="7">
        <v>94.7</v>
      </c>
      <c r="M89" s="7">
        <v>488.84615000000002</v>
      </c>
      <c r="N89" s="7">
        <v>635.82114999999999</v>
      </c>
      <c r="O89" s="7">
        <v>605.49297999999999</v>
      </c>
      <c r="Q89" s="25">
        <v>6314.06</v>
      </c>
      <c r="R89" s="25">
        <v>6213.83</v>
      </c>
      <c r="S89" s="25">
        <v>6234.51</v>
      </c>
    </row>
    <row r="90" spans="1:19" x14ac:dyDescent="0.2">
      <c r="A90" s="27">
        <v>70</v>
      </c>
      <c r="B90" s="1" t="s">
        <v>76</v>
      </c>
      <c r="C90" s="6">
        <v>13</v>
      </c>
      <c r="D90" s="6">
        <v>0</v>
      </c>
      <c r="E90" s="6">
        <v>120</v>
      </c>
      <c r="F90" s="29">
        <f t="shared" si="3"/>
        <v>133</v>
      </c>
      <c r="H90" s="7">
        <v>92.5</v>
      </c>
      <c r="I90" s="7">
        <v>0</v>
      </c>
      <c r="J90" s="7">
        <v>58.91</v>
      </c>
      <c r="K90" s="7">
        <v>62.36</v>
      </c>
      <c r="M90" s="7">
        <v>538.25017000000003</v>
      </c>
      <c r="N90" s="7">
        <v>142.25688</v>
      </c>
      <c r="O90" s="7">
        <v>186.66734</v>
      </c>
      <c r="Q90" s="25">
        <v>3739.65</v>
      </c>
      <c r="R90" s="25">
        <v>2289.4899999999998</v>
      </c>
      <c r="S90" s="25">
        <v>2452.12</v>
      </c>
    </row>
    <row r="91" spans="1:19" x14ac:dyDescent="0.2">
      <c r="A91" s="27">
        <v>71</v>
      </c>
      <c r="B91" s="1" t="s">
        <v>77</v>
      </c>
      <c r="C91" s="6">
        <v>10</v>
      </c>
      <c r="D91" s="6">
        <v>7</v>
      </c>
      <c r="E91" s="6">
        <v>60</v>
      </c>
      <c r="F91" s="29">
        <f t="shared" si="3"/>
        <v>77</v>
      </c>
      <c r="H91" s="7">
        <v>62.3</v>
      </c>
      <c r="I91" s="7">
        <v>64.67</v>
      </c>
      <c r="J91" s="7">
        <v>74.11</v>
      </c>
      <c r="K91" s="7">
        <v>71.61</v>
      </c>
      <c r="M91" s="7">
        <v>232.45</v>
      </c>
      <c r="N91" s="7">
        <v>302.09291999999999</v>
      </c>
      <c r="O91" s="7">
        <v>289.19607999999999</v>
      </c>
      <c r="Q91" s="25">
        <v>3700.84</v>
      </c>
      <c r="R91" s="25">
        <v>4032.76</v>
      </c>
      <c r="S91" s="25">
        <v>3971.29</v>
      </c>
    </row>
    <row r="92" spans="1:19" x14ac:dyDescent="0.2">
      <c r="A92" s="27">
        <v>72</v>
      </c>
      <c r="B92" s="1" t="s">
        <v>78</v>
      </c>
      <c r="C92" s="6">
        <v>1</v>
      </c>
      <c r="D92" s="6">
        <v>0</v>
      </c>
      <c r="E92" s="6">
        <v>103</v>
      </c>
      <c r="F92" s="29">
        <f t="shared" si="3"/>
        <v>104</v>
      </c>
      <c r="H92" s="7">
        <v>42</v>
      </c>
      <c r="I92" s="7">
        <v>0</v>
      </c>
      <c r="J92" s="7">
        <v>70.209999999999994</v>
      </c>
      <c r="K92" s="7">
        <v>69.92</v>
      </c>
      <c r="M92" s="7">
        <v>0</v>
      </c>
      <c r="N92" s="7">
        <v>219.54014000000001</v>
      </c>
      <c r="O92" s="7">
        <v>218.24933999999999</v>
      </c>
      <c r="Q92" s="25">
        <v>0</v>
      </c>
      <c r="R92" s="25">
        <v>3156.61</v>
      </c>
      <c r="S92" s="25">
        <v>3167.29</v>
      </c>
    </row>
    <row r="93" spans="1:19" x14ac:dyDescent="0.2">
      <c r="A93" s="28">
        <v>73</v>
      </c>
      <c r="B93" s="16" t="s">
        <v>79</v>
      </c>
      <c r="C93" s="18">
        <v>3</v>
      </c>
      <c r="D93" s="18">
        <v>1</v>
      </c>
      <c r="E93" s="18">
        <v>110</v>
      </c>
      <c r="F93" s="24">
        <f t="shared" si="3"/>
        <v>114</v>
      </c>
      <c r="G93" s="16"/>
      <c r="H93" s="17">
        <v>63.33</v>
      </c>
      <c r="I93" s="17">
        <v>85</v>
      </c>
      <c r="J93" s="17">
        <v>70.400000000000006</v>
      </c>
      <c r="K93" s="17">
        <v>70.34</v>
      </c>
      <c r="L93" s="17"/>
      <c r="M93" s="17">
        <v>220</v>
      </c>
      <c r="N93" s="17">
        <v>177.96542000000002</v>
      </c>
      <c r="O93" s="17">
        <v>180.06715</v>
      </c>
      <c r="P93" s="17"/>
      <c r="Q93" s="26">
        <v>3492.06</v>
      </c>
      <c r="R93" s="26">
        <v>2615.59</v>
      </c>
      <c r="S93" s="26">
        <v>2659.41</v>
      </c>
    </row>
    <row r="95" spans="1:19" x14ac:dyDescent="0.2">
      <c r="B95" s="35" t="s">
        <v>95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ull1"/>
  <dimension ref="A1:S95"/>
  <sheetViews>
    <sheetView workbookViewId="0"/>
  </sheetViews>
  <sheetFormatPr defaultColWidth="11.42578125" defaultRowHeight="12" x14ac:dyDescent="0.2"/>
  <cols>
    <col min="1" max="1" width="4.85546875" style="1" customWidth="1"/>
    <col min="2" max="2" width="35.7109375" style="1" customWidth="1"/>
    <col min="3" max="6" width="10.7109375" style="6" customWidth="1"/>
    <col min="7" max="7" width="2.7109375" style="1" customWidth="1"/>
    <col min="8" max="11" width="10.7109375" style="7" customWidth="1"/>
    <col min="12" max="12" width="2.7109375" style="7" customWidth="1"/>
    <col min="13" max="15" width="10.7109375" style="7" customWidth="1"/>
    <col min="16" max="16" width="2.7109375" style="7" customWidth="1"/>
    <col min="17" max="19" width="10.7109375" style="7" customWidth="1"/>
    <col min="20" max="16384" width="11.42578125" style="1"/>
  </cols>
  <sheetData>
    <row r="1" spans="1:19" ht="15" x14ac:dyDescent="0.25">
      <c r="A1" s="2" t="s">
        <v>93</v>
      </c>
    </row>
    <row r="2" spans="1:19" ht="12.75" x14ac:dyDescent="0.2">
      <c r="A2" s="20" t="s">
        <v>98</v>
      </c>
    </row>
    <row r="3" spans="1:19" x14ac:dyDescent="0.2">
      <c r="A3" s="1" t="s">
        <v>97</v>
      </c>
    </row>
    <row r="4" spans="1:19" ht="13.5" x14ac:dyDescent="0.2">
      <c r="C4" s="12" t="s">
        <v>4</v>
      </c>
      <c r="D4" s="13"/>
      <c r="E4" s="13"/>
      <c r="F4" s="13"/>
      <c r="H4" s="8" t="s">
        <v>94</v>
      </c>
      <c r="I4" s="9"/>
      <c r="J4" s="9"/>
      <c r="K4" s="9"/>
      <c r="M4" s="8" t="s">
        <v>6</v>
      </c>
      <c r="N4" s="8"/>
      <c r="O4" s="8"/>
      <c r="Q4" s="8" t="s">
        <v>7</v>
      </c>
      <c r="R4" s="8"/>
      <c r="S4" s="8"/>
    </row>
    <row r="5" spans="1:19" s="3" customFormat="1" ht="24" x14ac:dyDescent="0.2">
      <c r="A5" s="4" t="s">
        <v>92</v>
      </c>
      <c r="B5" s="4"/>
      <c r="C5" s="14" t="s">
        <v>0</v>
      </c>
      <c r="D5" s="14" t="s">
        <v>1</v>
      </c>
      <c r="E5" s="14" t="s">
        <v>2</v>
      </c>
      <c r="F5" s="14" t="s">
        <v>3</v>
      </c>
      <c r="G5" s="5"/>
      <c r="H5" s="10" t="s">
        <v>0</v>
      </c>
      <c r="I5" s="10" t="s">
        <v>1</v>
      </c>
      <c r="J5" s="10" t="s">
        <v>2</v>
      </c>
      <c r="K5" s="10" t="s">
        <v>3</v>
      </c>
      <c r="L5" s="11"/>
      <c r="M5" s="10" t="s">
        <v>5</v>
      </c>
      <c r="N5" s="10" t="s">
        <v>2</v>
      </c>
      <c r="O5" s="10" t="s">
        <v>3</v>
      </c>
      <c r="P5" s="11"/>
      <c r="Q5" s="10" t="s">
        <v>5</v>
      </c>
      <c r="R5" s="10" t="s">
        <v>2</v>
      </c>
      <c r="S5" s="10" t="s">
        <v>3</v>
      </c>
    </row>
    <row r="6" spans="1:19" s="3" customFormat="1" x14ac:dyDescent="0.2">
      <c r="B6" s="19" t="s">
        <v>96</v>
      </c>
      <c r="C6" s="6">
        <v>362</v>
      </c>
      <c r="D6" s="6">
        <v>42</v>
      </c>
      <c r="E6" s="6">
        <v>3569</v>
      </c>
      <c r="F6" s="6">
        <f t="shared" ref="F6" si="0">SUM(C6:E6)</f>
        <v>3973</v>
      </c>
      <c r="G6" s="1"/>
      <c r="H6" s="7">
        <v>84.68</v>
      </c>
      <c r="I6" s="7">
        <v>64</v>
      </c>
      <c r="J6" s="7">
        <v>78.510000000000005</v>
      </c>
      <c r="K6" s="7">
        <v>78.95</v>
      </c>
      <c r="L6" s="1"/>
      <c r="M6" s="7">
        <v>454.28951000000001</v>
      </c>
      <c r="N6" s="7">
        <v>366.43941999999998</v>
      </c>
      <c r="O6" s="7">
        <v>376.57479999999998</v>
      </c>
      <c r="P6" s="1"/>
      <c r="Q6" s="25">
        <v>5112.07</v>
      </c>
      <c r="R6" s="25">
        <v>4333.75</v>
      </c>
      <c r="S6" s="25">
        <v>4423.55</v>
      </c>
    </row>
    <row r="7" spans="1:19" s="3" customFormat="1" x14ac:dyDescent="0.2">
      <c r="B7" s="22"/>
      <c r="C7" s="29"/>
      <c r="D7" s="29"/>
      <c r="E7" s="29"/>
      <c r="F7" s="29"/>
      <c r="H7" s="30"/>
      <c r="I7" s="30"/>
      <c r="J7" s="30"/>
      <c r="K7" s="30"/>
      <c r="L7" s="31"/>
      <c r="M7" s="30"/>
      <c r="N7" s="30"/>
      <c r="O7" s="30"/>
      <c r="P7" s="31"/>
      <c r="Q7" s="32"/>
      <c r="R7" s="32"/>
      <c r="S7" s="32"/>
    </row>
    <row r="8" spans="1:19" s="3" customFormat="1" x14ac:dyDescent="0.2">
      <c r="B8" s="15" t="s">
        <v>90</v>
      </c>
      <c r="C8" s="29"/>
      <c r="D8" s="29"/>
      <c r="E8" s="29"/>
      <c r="F8" s="29"/>
      <c r="H8" s="30"/>
      <c r="I8" s="30"/>
      <c r="J8" s="30"/>
      <c r="K8" s="30"/>
      <c r="L8" s="31"/>
      <c r="M8" s="30"/>
      <c r="N8" s="30"/>
      <c r="O8" s="30"/>
      <c r="P8" s="31"/>
      <c r="Q8" s="32"/>
      <c r="R8" s="32"/>
      <c r="S8" s="32"/>
    </row>
    <row r="9" spans="1:19" s="3" customFormat="1" x14ac:dyDescent="0.2">
      <c r="A9" s="27">
        <v>1</v>
      </c>
      <c r="B9" s="22" t="s">
        <v>81</v>
      </c>
      <c r="C9" s="29">
        <v>21</v>
      </c>
      <c r="D9" s="29">
        <v>0</v>
      </c>
      <c r="E9" s="29">
        <v>351</v>
      </c>
      <c r="F9" s="29">
        <f t="shared" ref="F9:F18" si="1">SUM(C9:E9)</f>
        <v>372</v>
      </c>
      <c r="H9" s="30">
        <v>55.48</v>
      </c>
      <c r="I9" s="30">
        <v>0</v>
      </c>
      <c r="J9" s="30">
        <v>68.12</v>
      </c>
      <c r="K9" s="30">
        <v>67.31</v>
      </c>
      <c r="L9" s="31"/>
      <c r="M9" s="30">
        <v>327.76047999999997</v>
      </c>
      <c r="N9" s="30">
        <v>301.48764</v>
      </c>
      <c r="O9" s="30">
        <v>303.19578000000001</v>
      </c>
      <c r="P9" s="31"/>
      <c r="Q9" s="32">
        <v>5739.82</v>
      </c>
      <c r="R9" s="32">
        <v>4141.83</v>
      </c>
      <c r="S9" s="32">
        <v>4245.72</v>
      </c>
    </row>
    <row r="10" spans="1:19" s="3" customFormat="1" x14ac:dyDescent="0.2">
      <c r="A10" s="27">
        <v>2</v>
      </c>
      <c r="B10" s="22" t="s">
        <v>82</v>
      </c>
      <c r="C10" s="29">
        <v>51</v>
      </c>
      <c r="D10" s="29">
        <v>6</v>
      </c>
      <c r="E10" s="29">
        <v>574</v>
      </c>
      <c r="F10" s="29">
        <f t="shared" si="1"/>
        <v>631</v>
      </c>
      <c r="H10" s="30">
        <v>100.96</v>
      </c>
      <c r="I10" s="30">
        <v>75.25</v>
      </c>
      <c r="J10" s="30">
        <v>90.55</v>
      </c>
      <c r="K10" s="30">
        <v>91.32</v>
      </c>
      <c r="L10" s="31"/>
      <c r="M10" s="30">
        <v>702.38905</v>
      </c>
      <c r="N10" s="30">
        <v>451.62948</v>
      </c>
      <c r="O10" s="30">
        <v>473.35253</v>
      </c>
      <c r="P10" s="31"/>
      <c r="Q10" s="32">
        <v>6404.84</v>
      </c>
      <c r="R10" s="32">
        <v>5006.84</v>
      </c>
      <c r="S10" s="32">
        <v>5127.95</v>
      </c>
    </row>
    <row r="11" spans="1:19" s="3" customFormat="1" x14ac:dyDescent="0.2">
      <c r="A11" s="27">
        <v>3</v>
      </c>
      <c r="B11" s="22" t="s">
        <v>83</v>
      </c>
      <c r="C11" s="29">
        <v>56</v>
      </c>
      <c r="D11" s="29">
        <v>0</v>
      </c>
      <c r="E11" s="29">
        <v>433</v>
      </c>
      <c r="F11" s="29">
        <f t="shared" si="1"/>
        <v>489</v>
      </c>
      <c r="H11" s="30">
        <v>84.29</v>
      </c>
      <c r="I11" s="30">
        <v>0</v>
      </c>
      <c r="J11" s="30">
        <v>70.150000000000006</v>
      </c>
      <c r="K11" s="30">
        <v>71.95</v>
      </c>
      <c r="L11" s="31"/>
      <c r="M11" s="30">
        <v>293.19468000000001</v>
      </c>
      <c r="N11" s="30">
        <v>271.43509</v>
      </c>
      <c r="O11" s="30">
        <v>274.95686999999998</v>
      </c>
      <c r="P11" s="31"/>
      <c r="Q11" s="32">
        <v>3726.69</v>
      </c>
      <c r="R11" s="32">
        <v>3848.85</v>
      </c>
      <c r="S11" s="32">
        <v>3829.08</v>
      </c>
    </row>
    <row r="12" spans="1:19" s="3" customFormat="1" x14ac:dyDescent="0.2">
      <c r="A12" s="27">
        <v>4</v>
      </c>
      <c r="B12" s="22" t="s">
        <v>84</v>
      </c>
      <c r="C12" s="29">
        <v>1</v>
      </c>
      <c r="D12" s="29">
        <v>1</v>
      </c>
      <c r="E12" s="29">
        <v>180</v>
      </c>
      <c r="F12" s="29">
        <f t="shared" si="1"/>
        <v>182</v>
      </c>
      <c r="H12" s="30">
        <v>0</v>
      </c>
      <c r="I12" s="30">
        <v>0</v>
      </c>
      <c r="J12" s="30">
        <v>89.13</v>
      </c>
      <c r="K12" s="30">
        <v>89.13</v>
      </c>
      <c r="L12" s="31"/>
      <c r="M12" s="30">
        <v>0</v>
      </c>
      <c r="N12" s="30">
        <v>555.56903</v>
      </c>
      <c r="O12" s="30">
        <v>555.56903</v>
      </c>
      <c r="P12" s="31"/>
      <c r="Q12" s="32">
        <v>0</v>
      </c>
      <c r="R12" s="32">
        <v>5524.07</v>
      </c>
      <c r="S12" s="32">
        <v>5524.07</v>
      </c>
    </row>
    <row r="13" spans="1:19" s="3" customFormat="1" x14ac:dyDescent="0.2">
      <c r="A13" s="27">
        <v>5</v>
      </c>
      <c r="B13" s="22" t="s">
        <v>85</v>
      </c>
      <c r="C13" s="29">
        <v>44</v>
      </c>
      <c r="D13" s="29">
        <v>0</v>
      </c>
      <c r="E13" s="29">
        <v>268</v>
      </c>
      <c r="F13" s="29">
        <f t="shared" si="1"/>
        <v>312</v>
      </c>
      <c r="H13" s="30">
        <v>117.06</v>
      </c>
      <c r="I13" s="30">
        <v>0</v>
      </c>
      <c r="J13" s="30">
        <v>125.97</v>
      </c>
      <c r="K13" s="30">
        <v>124.81</v>
      </c>
      <c r="L13" s="31"/>
      <c r="M13" s="30">
        <v>865.27082999999993</v>
      </c>
      <c r="N13" s="30">
        <v>733.62396999999999</v>
      </c>
      <c r="O13" s="30">
        <v>751.24214000000006</v>
      </c>
      <c r="P13" s="31"/>
      <c r="Q13" s="32">
        <v>7019.12</v>
      </c>
      <c r="R13" s="32">
        <v>5902.75</v>
      </c>
      <c r="S13" s="32">
        <v>6052.15</v>
      </c>
    </row>
    <row r="14" spans="1:19" s="3" customFormat="1" x14ac:dyDescent="0.2">
      <c r="A14" s="27">
        <v>6</v>
      </c>
      <c r="B14" s="22" t="s">
        <v>86</v>
      </c>
      <c r="C14" s="29">
        <v>33</v>
      </c>
      <c r="D14" s="29">
        <v>0</v>
      </c>
      <c r="E14" s="29">
        <v>271</v>
      </c>
      <c r="F14" s="29">
        <f t="shared" si="1"/>
        <v>304</v>
      </c>
      <c r="H14" s="30">
        <v>89.3</v>
      </c>
      <c r="I14" s="30">
        <v>0</v>
      </c>
      <c r="J14" s="30">
        <v>76.239999999999995</v>
      </c>
      <c r="K14" s="30">
        <v>77.69</v>
      </c>
      <c r="L14" s="31"/>
      <c r="M14" s="30">
        <v>469.00673999999998</v>
      </c>
      <c r="N14" s="30">
        <v>358.98872999999998</v>
      </c>
      <c r="O14" s="30">
        <v>371.3503</v>
      </c>
      <c r="P14" s="31"/>
      <c r="Q14" s="32">
        <v>5565.65</v>
      </c>
      <c r="R14" s="32">
        <v>4764</v>
      </c>
      <c r="S14" s="32">
        <v>4854.07</v>
      </c>
    </row>
    <row r="15" spans="1:19" s="3" customFormat="1" x14ac:dyDescent="0.2">
      <c r="A15" s="27">
        <v>7</v>
      </c>
      <c r="B15" s="22" t="s">
        <v>87</v>
      </c>
      <c r="C15" s="29">
        <v>70</v>
      </c>
      <c r="D15" s="29">
        <v>2</v>
      </c>
      <c r="E15" s="29">
        <v>300</v>
      </c>
      <c r="F15" s="29">
        <f t="shared" si="1"/>
        <v>372</v>
      </c>
      <c r="H15" s="30">
        <v>78.78</v>
      </c>
      <c r="I15" s="30">
        <v>67.5</v>
      </c>
      <c r="J15" s="30">
        <v>69.05</v>
      </c>
      <c r="K15" s="30">
        <v>71.02</v>
      </c>
      <c r="L15" s="31"/>
      <c r="M15" s="30">
        <v>292.75713000000002</v>
      </c>
      <c r="N15" s="30">
        <v>230.66776000000002</v>
      </c>
      <c r="O15" s="30">
        <v>244.12045000000001</v>
      </c>
      <c r="P15" s="31"/>
      <c r="Q15" s="32">
        <v>3631.3</v>
      </c>
      <c r="R15" s="32">
        <v>3431.7</v>
      </c>
      <c r="S15" s="32">
        <v>3474.94</v>
      </c>
    </row>
    <row r="16" spans="1:19" s="3" customFormat="1" x14ac:dyDescent="0.2">
      <c r="A16" s="27">
        <v>8</v>
      </c>
      <c r="B16" s="22" t="s">
        <v>88</v>
      </c>
      <c r="C16" s="29">
        <v>3</v>
      </c>
      <c r="D16" s="29">
        <v>0</v>
      </c>
      <c r="E16" s="29">
        <v>398</v>
      </c>
      <c r="F16" s="29">
        <f t="shared" si="1"/>
        <v>401</v>
      </c>
      <c r="H16" s="30">
        <v>56</v>
      </c>
      <c r="I16" s="30">
        <v>0</v>
      </c>
      <c r="J16" s="30">
        <v>64.569999999999993</v>
      </c>
      <c r="K16" s="30">
        <v>64.52</v>
      </c>
      <c r="L16" s="31"/>
      <c r="M16" s="30">
        <v>115</v>
      </c>
      <c r="N16" s="30">
        <v>189.92573999999999</v>
      </c>
      <c r="O16" s="30">
        <v>189.03904</v>
      </c>
      <c r="P16" s="31"/>
      <c r="Q16" s="32">
        <v>2181.67</v>
      </c>
      <c r="R16" s="32">
        <v>2783.47</v>
      </c>
      <c r="S16" s="32">
        <v>2776.34</v>
      </c>
    </row>
    <row r="17" spans="1:19" s="3" customFormat="1" x14ac:dyDescent="0.2">
      <c r="A17" s="27">
        <v>9</v>
      </c>
      <c r="B17" s="22" t="s">
        <v>66</v>
      </c>
      <c r="C17" s="29">
        <v>6</v>
      </c>
      <c r="D17" s="29">
        <v>4</v>
      </c>
      <c r="E17" s="29">
        <v>309</v>
      </c>
      <c r="F17" s="29">
        <f t="shared" si="1"/>
        <v>319</v>
      </c>
      <c r="H17" s="30">
        <v>81.33</v>
      </c>
      <c r="I17" s="30">
        <v>76.25</v>
      </c>
      <c r="J17" s="30">
        <v>70.09</v>
      </c>
      <c r="K17" s="30">
        <v>70.400000000000006</v>
      </c>
      <c r="L17" s="31"/>
      <c r="M17" s="30">
        <v>302.92734999999999</v>
      </c>
      <c r="N17" s="30">
        <v>256.01645000000002</v>
      </c>
      <c r="O17" s="30">
        <v>257.83235000000002</v>
      </c>
      <c r="P17" s="31"/>
      <c r="Q17" s="32">
        <v>3800.99</v>
      </c>
      <c r="R17" s="32">
        <v>3443.63</v>
      </c>
      <c r="S17" s="32">
        <v>3457.47</v>
      </c>
    </row>
    <row r="18" spans="1:19" s="3" customFormat="1" x14ac:dyDescent="0.2">
      <c r="A18" s="27">
        <v>10</v>
      </c>
      <c r="B18" s="22" t="s">
        <v>89</v>
      </c>
      <c r="C18" s="29">
        <v>70</v>
      </c>
      <c r="D18" s="29">
        <v>29</v>
      </c>
      <c r="E18" s="29">
        <v>464</v>
      </c>
      <c r="F18" s="29">
        <f t="shared" si="1"/>
        <v>563</v>
      </c>
      <c r="H18" s="30">
        <v>70.92</v>
      </c>
      <c r="I18" s="30">
        <v>60.26</v>
      </c>
      <c r="J18" s="30">
        <v>71.97</v>
      </c>
      <c r="K18" s="30">
        <v>71.23</v>
      </c>
      <c r="L18" s="31"/>
      <c r="M18" s="30">
        <v>415.3879</v>
      </c>
      <c r="N18" s="30">
        <v>291.18015000000003</v>
      </c>
      <c r="O18" s="30">
        <v>312.30826999999999</v>
      </c>
      <c r="P18" s="31"/>
      <c r="Q18" s="32">
        <v>5589.23</v>
      </c>
      <c r="R18" s="32">
        <v>3888.73</v>
      </c>
      <c r="S18" s="32">
        <v>4177.99</v>
      </c>
    </row>
    <row r="19" spans="1:19" s="3" customFormat="1" x14ac:dyDescent="0.2">
      <c r="A19" s="27"/>
      <c r="B19" s="22"/>
      <c r="C19" s="29"/>
      <c r="D19" s="29"/>
      <c r="E19" s="29"/>
      <c r="F19" s="29"/>
      <c r="H19" s="30"/>
      <c r="I19" s="30"/>
      <c r="J19" s="30"/>
      <c r="K19" s="30"/>
      <c r="L19" s="31"/>
      <c r="M19" s="30"/>
      <c r="N19" s="30"/>
      <c r="O19" s="30"/>
      <c r="P19" s="31"/>
      <c r="Q19" s="32"/>
      <c r="R19" s="32"/>
      <c r="S19" s="32"/>
    </row>
    <row r="20" spans="1:19" s="3" customFormat="1" x14ac:dyDescent="0.2">
      <c r="A20" s="27"/>
      <c r="B20" s="15" t="s">
        <v>91</v>
      </c>
      <c r="C20" s="29"/>
      <c r="D20" s="29"/>
      <c r="E20" s="29"/>
      <c r="F20" s="29"/>
      <c r="H20" s="30"/>
      <c r="I20" s="30"/>
      <c r="J20" s="30"/>
      <c r="K20" s="30"/>
      <c r="L20" s="31"/>
      <c r="M20" s="30"/>
      <c r="N20" s="30"/>
      <c r="O20" s="30"/>
      <c r="P20" s="31"/>
      <c r="Q20" s="32"/>
      <c r="R20" s="32"/>
      <c r="S20" s="32"/>
    </row>
    <row r="21" spans="1:19" x14ac:dyDescent="0.2">
      <c r="A21" s="27">
        <v>1</v>
      </c>
      <c r="B21" s="6" t="s">
        <v>8</v>
      </c>
      <c r="C21" s="6">
        <v>7</v>
      </c>
      <c r="D21" s="6">
        <v>0</v>
      </c>
      <c r="E21" s="6">
        <v>164</v>
      </c>
      <c r="F21" s="29">
        <f t="shared" ref="F21:F84" si="2">SUM(C21:E21)</f>
        <v>171</v>
      </c>
      <c r="H21" s="7">
        <v>65.569999999999993</v>
      </c>
      <c r="I21" s="7">
        <v>0</v>
      </c>
      <c r="J21" s="7">
        <v>60.43</v>
      </c>
      <c r="K21" s="7">
        <v>60.68</v>
      </c>
      <c r="M21" s="7">
        <v>446.40714000000003</v>
      </c>
      <c r="N21" s="7">
        <v>182.41426999999999</v>
      </c>
      <c r="O21" s="7">
        <v>195.428</v>
      </c>
      <c r="Q21" s="25">
        <v>6595.93</v>
      </c>
      <c r="R21" s="25">
        <v>3033.62</v>
      </c>
      <c r="S21" s="25">
        <v>3209.23</v>
      </c>
    </row>
    <row r="22" spans="1:19" x14ac:dyDescent="0.2">
      <c r="A22" s="27">
        <v>2</v>
      </c>
      <c r="B22" s="6" t="s">
        <v>9</v>
      </c>
      <c r="C22" s="6">
        <v>4</v>
      </c>
      <c r="D22" s="6">
        <v>0</v>
      </c>
      <c r="E22" s="6">
        <v>53</v>
      </c>
      <c r="F22" s="29">
        <f t="shared" si="2"/>
        <v>57</v>
      </c>
      <c r="H22" s="7">
        <v>80.5</v>
      </c>
      <c r="I22" s="7">
        <v>0</v>
      </c>
      <c r="J22" s="7">
        <v>106.57</v>
      </c>
      <c r="K22" s="7">
        <v>104.67</v>
      </c>
      <c r="M22" s="7">
        <v>403.78</v>
      </c>
      <c r="N22" s="7">
        <v>667.72255000000007</v>
      </c>
      <c r="O22" s="7">
        <v>648.52672999999993</v>
      </c>
      <c r="Q22" s="25">
        <v>4830.26</v>
      </c>
      <c r="R22" s="25">
        <v>5267.86</v>
      </c>
      <c r="S22" s="25">
        <v>5236.03</v>
      </c>
    </row>
    <row r="23" spans="1:19" x14ac:dyDescent="0.2">
      <c r="A23" s="27">
        <v>3</v>
      </c>
      <c r="B23" s="6" t="s">
        <v>10</v>
      </c>
      <c r="C23" s="6">
        <v>5</v>
      </c>
      <c r="D23" s="6">
        <v>0</v>
      </c>
      <c r="E23" s="6">
        <v>56</v>
      </c>
      <c r="F23" s="29">
        <f t="shared" si="2"/>
        <v>61</v>
      </c>
      <c r="H23" s="7">
        <v>37.799999999999997</v>
      </c>
      <c r="I23" s="7">
        <v>0</v>
      </c>
      <c r="J23" s="7">
        <v>47.51</v>
      </c>
      <c r="K23" s="7">
        <v>46.64</v>
      </c>
      <c r="M23" s="7">
        <v>194</v>
      </c>
      <c r="N23" s="7">
        <v>237.29004</v>
      </c>
      <c r="O23" s="7">
        <v>233.42486</v>
      </c>
      <c r="Q23" s="25">
        <v>5225</v>
      </c>
      <c r="R23" s="25">
        <v>5350.55</v>
      </c>
      <c r="S23" s="25">
        <v>5339.34</v>
      </c>
    </row>
    <row r="24" spans="1:19" x14ac:dyDescent="0.2">
      <c r="A24" s="27">
        <v>4</v>
      </c>
      <c r="B24" s="6" t="s">
        <v>11</v>
      </c>
      <c r="C24" s="6">
        <v>5</v>
      </c>
      <c r="D24" s="6">
        <v>0</v>
      </c>
      <c r="E24" s="6">
        <v>78</v>
      </c>
      <c r="F24" s="29">
        <f t="shared" si="2"/>
        <v>83</v>
      </c>
      <c r="H24" s="7">
        <v>39</v>
      </c>
      <c r="I24" s="7">
        <v>0</v>
      </c>
      <c r="J24" s="7">
        <v>70.569999999999993</v>
      </c>
      <c r="K24" s="7">
        <v>68.31</v>
      </c>
      <c r="M24" s="7">
        <v>234.6</v>
      </c>
      <c r="N24" s="7">
        <v>311.81074999999998</v>
      </c>
      <c r="O24" s="7">
        <v>306.29570000000001</v>
      </c>
      <c r="Q24" s="25">
        <v>5783.73</v>
      </c>
      <c r="R24" s="25">
        <v>4611.6099999999997</v>
      </c>
      <c r="S24" s="25">
        <v>4695.33</v>
      </c>
    </row>
    <row r="25" spans="1:19" x14ac:dyDescent="0.2">
      <c r="A25" s="27">
        <v>5</v>
      </c>
      <c r="B25" s="6" t="s">
        <v>12</v>
      </c>
      <c r="C25" s="6">
        <v>1</v>
      </c>
      <c r="D25" s="6">
        <v>0</v>
      </c>
      <c r="E25" s="6">
        <v>44</v>
      </c>
      <c r="F25" s="29">
        <f t="shared" si="2"/>
        <v>45</v>
      </c>
      <c r="H25" s="7">
        <v>84</v>
      </c>
      <c r="I25" s="7">
        <v>0</v>
      </c>
      <c r="J25" s="7">
        <v>84.25</v>
      </c>
      <c r="K25" s="7">
        <v>84.24</v>
      </c>
      <c r="M25" s="7">
        <v>0</v>
      </c>
      <c r="N25" s="7">
        <v>366.61134000000004</v>
      </c>
      <c r="O25" s="7">
        <v>367.05984000000001</v>
      </c>
      <c r="Q25" s="25">
        <v>0</v>
      </c>
      <c r="R25" s="25">
        <v>4342.7299999999996</v>
      </c>
      <c r="S25" s="25">
        <v>4348.6000000000004</v>
      </c>
    </row>
    <row r="26" spans="1:19" x14ac:dyDescent="0.2">
      <c r="A26" s="27">
        <v>6</v>
      </c>
      <c r="B26" s="6" t="s">
        <v>13</v>
      </c>
      <c r="C26" s="6">
        <v>3</v>
      </c>
      <c r="D26" s="6">
        <v>0</v>
      </c>
      <c r="E26" s="6">
        <v>128</v>
      </c>
      <c r="F26" s="29">
        <f t="shared" si="2"/>
        <v>131</v>
      </c>
      <c r="H26" s="7">
        <v>61.67</v>
      </c>
      <c r="I26" s="7">
        <v>0</v>
      </c>
      <c r="J26" s="7">
        <v>73.73</v>
      </c>
      <c r="K26" s="7">
        <v>73.41</v>
      </c>
      <c r="M26" s="7">
        <v>425.95166999999998</v>
      </c>
      <c r="N26" s="7">
        <v>326.75923999999998</v>
      </c>
      <c r="O26" s="7">
        <v>329.44011999999998</v>
      </c>
      <c r="Q26" s="25">
        <v>6847.06</v>
      </c>
      <c r="R26" s="25">
        <v>4559.84</v>
      </c>
      <c r="S26" s="25">
        <v>4621.66</v>
      </c>
    </row>
    <row r="27" spans="1:19" x14ac:dyDescent="0.2">
      <c r="A27" s="27">
        <v>7</v>
      </c>
      <c r="B27" s="6" t="s">
        <v>14</v>
      </c>
      <c r="C27" s="6">
        <v>18</v>
      </c>
      <c r="D27" s="6">
        <v>0</v>
      </c>
      <c r="E27" s="6">
        <v>112</v>
      </c>
      <c r="F27" s="29">
        <f t="shared" si="2"/>
        <v>130</v>
      </c>
      <c r="H27" s="7">
        <v>131.88</v>
      </c>
      <c r="I27" s="7">
        <v>0</v>
      </c>
      <c r="J27" s="7">
        <v>114.63</v>
      </c>
      <c r="K27" s="7">
        <v>116.95</v>
      </c>
      <c r="M27" s="7">
        <v>1084.3156299999998</v>
      </c>
      <c r="N27" s="7">
        <v>686.32220999999993</v>
      </c>
      <c r="O27" s="7">
        <v>741.21785</v>
      </c>
      <c r="Q27" s="25">
        <v>8133.81</v>
      </c>
      <c r="R27" s="25">
        <v>6050.8</v>
      </c>
      <c r="S27" s="25">
        <v>6338.11</v>
      </c>
    </row>
    <row r="28" spans="1:19" x14ac:dyDescent="0.2">
      <c r="A28" s="27">
        <v>8</v>
      </c>
      <c r="B28" s="6" t="s">
        <v>15</v>
      </c>
      <c r="C28" s="6">
        <v>7</v>
      </c>
      <c r="D28" s="6">
        <v>1</v>
      </c>
      <c r="E28" s="6">
        <v>100</v>
      </c>
      <c r="F28" s="29">
        <f t="shared" si="2"/>
        <v>108</v>
      </c>
      <c r="H28" s="7">
        <v>106.67</v>
      </c>
      <c r="I28" s="7">
        <v>52</v>
      </c>
      <c r="J28" s="7">
        <v>99.32</v>
      </c>
      <c r="K28" s="7">
        <v>99.29</v>
      </c>
      <c r="M28" s="7">
        <v>864.8336700000001</v>
      </c>
      <c r="N28" s="7">
        <v>503.83614</v>
      </c>
      <c r="O28" s="7">
        <v>526.63598000000002</v>
      </c>
      <c r="Q28" s="25">
        <v>7625.16</v>
      </c>
      <c r="R28" s="25">
        <v>5334.82</v>
      </c>
      <c r="S28" s="25">
        <v>5479.47</v>
      </c>
    </row>
    <row r="29" spans="1:19" x14ac:dyDescent="0.2">
      <c r="A29" s="27">
        <v>9</v>
      </c>
      <c r="B29" s="6" t="s">
        <v>16</v>
      </c>
      <c r="C29" s="6">
        <v>17</v>
      </c>
      <c r="D29" s="6">
        <v>4</v>
      </c>
      <c r="E29" s="6">
        <v>98</v>
      </c>
      <c r="F29" s="29">
        <f t="shared" si="2"/>
        <v>119</v>
      </c>
      <c r="H29" s="7">
        <v>80.13</v>
      </c>
      <c r="I29" s="7">
        <v>83</v>
      </c>
      <c r="J29" s="7">
        <v>77.349999999999994</v>
      </c>
      <c r="K29" s="7">
        <v>77.92</v>
      </c>
      <c r="M29" s="7">
        <v>410.26595000000003</v>
      </c>
      <c r="N29" s="7">
        <v>356.43124</v>
      </c>
      <c r="O29" s="7">
        <v>365.02189000000004</v>
      </c>
      <c r="Q29" s="25">
        <v>4813.49</v>
      </c>
      <c r="R29" s="25">
        <v>4617.09</v>
      </c>
      <c r="S29" s="25">
        <v>4648.43</v>
      </c>
    </row>
    <row r="30" spans="1:19" x14ac:dyDescent="0.2">
      <c r="A30" s="27">
        <v>10</v>
      </c>
      <c r="B30" s="6" t="s">
        <v>17</v>
      </c>
      <c r="C30" s="6">
        <v>5</v>
      </c>
      <c r="D30" s="6">
        <v>1</v>
      </c>
      <c r="E30" s="6">
        <v>92</v>
      </c>
      <c r="F30" s="29">
        <f t="shared" si="2"/>
        <v>98</v>
      </c>
      <c r="H30" s="7">
        <v>88.8</v>
      </c>
      <c r="I30" s="7">
        <v>0</v>
      </c>
      <c r="J30" s="7">
        <v>90.55</v>
      </c>
      <c r="K30" s="7">
        <v>90.44</v>
      </c>
      <c r="M30" s="7">
        <v>391</v>
      </c>
      <c r="N30" s="7">
        <v>397.88607000000002</v>
      </c>
      <c r="O30" s="7">
        <v>397.42078999999995</v>
      </c>
      <c r="Q30" s="25">
        <v>4280.7299999999996</v>
      </c>
      <c r="R30" s="25">
        <v>4601.68</v>
      </c>
      <c r="S30" s="25">
        <v>4579.99</v>
      </c>
    </row>
    <row r="31" spans="1:19" x14ac:dyDescent="0.2">
      <c r="A31" s="27">
        <v>11</v>
      </c>
      <c r="B31" s="6" t="s">
        <v>18</v>
      </c>
      <c r="C31" s="6">
        <v>2</v>
      </c>
      <c r="D31" s="6">
        <v>0</v>
      </c>
      <c r="E31" s="6">
        <v>121</v>
      </c>
      <c r="F31" s="29">
        <f t="shared" si="2"/>
        <v>123</v>
      </c>
      <c r="H31" s="7">
        <v>60</v>
      </c>
      <c r="I31" s="7">
        <v>0</v>
      </c>
      <c r="J31" s="7">
        <v>63.62</v>
      </c>
      <c r="K31" s="7">
        <v>63.55</v>
      </c>
      <c r="M31" s="7">
        <v>0</v>
      </c>
      <c r="N31" s="7">
        <v>237.51048</v>
      </c>
      <c r="O31" s="7">
        <v>238.45146</v>
      </c>
      <c r="Q31" s="25">
        <v>0</v>
      </c>
      <c r="R31" s="25">
        <v>3815.45</v>
      </c>
      <c r="S31" s="25">
        <v>3832.92</v>
      </c>
    </row>
    <row r="32" spans="1:19" x14ac:dyDescent="0.2">
      <c r="A32" s="27">
        <v>12</v>
      </c>
      <c r="B32" s="6" t="s">
        <v>19</v>
      </c>
      <c r="C32" s="6">
        <v>36</v>
      </c>
      <c r="D32" s="6">
        <v>0</v>
      </c>
      <c r="E32" s="6">
        <v>54</v>
      </c>
      <c r="F32" s="29">
        <f t="shared" si="2"/>
        <v>90</v>
      </c>
      <c r="H32" s="7">
        <v>88.75</v>
      </c>
      <c r="I32" s="7">
        <v>0</v>
      </c>
      <c r="J32" s="7">
        <v>81.13</v>
      </c>
      <c r="K32" s="7">
        <v>84.21</v>
      </c>
      <c r="M32" s="7">
        <v>289.91530999999998</v>
      </c>
      <c r="N32" s="7">
        <v>361.64653000000004</v>
      </c>
      <c r="O32" s="7">
        <v>331.96465000000001</v>
      </c>
      <c r="Q32" s="25">
        <v>3415.48</v>
      </c>
      <c r="R32" s="25">
        <v>4458.2</v>
      </c>
      <c r="S32" s="25">
        <v>4026.73</v>
      </c>
    </row>
    <row r="33" spans="1:19" x14ac:dyDescent="0.2">
      <c r="A33" s="27">
        <v>13</v>
      </c>
      <c r="B33" s="6" t="s">
        <v>20</v>
      </c>
      <c r="C33" s="6">
        <v>1</v>
      </c>
      <c r="D33" s="6">
        <v>0</v>
      </c>
      <c r="E33" s="6">
        <v>57</v>
      </c>
      <c r="F33" s="29">
        <f t="shared" si="2"/>
        <v>58</v>
      </c>
      <c r="H33" s="7">
        <v>54</v>
      </c>
      <c r="I33" s="7">
        <v>0</v>
      </c>
      <c r="J33" s="7">
        <v>69.040000000000006</v>
      </c>
      <c r="K33" s="7">
        <v>68.760000000000005</v>
      </c>
      <c r="M33" s="7">
        <v>0</v>
      </c>
      <c r="N33" s="7">
        <v>222.79304000000002</v>
      </c>
      <c r="O33" s="7">
        <v>220.57391000000001</v>
      </c>
      <c r="Q33" s="25">
        <v>0</v>
      </c>
      <c r="R33" s="25">
        <v>3253.95</v>
      </c>
      <c r="S33" s="25">
        <v>3240.98</v>
      </c>
    </row>
    <row r="34" spans="1:19" x14ac:dyDescent="0.2">
      <c r="A34" s="27">
        <v>14</v>
      </c>
      <c r="B34" s="6" t="s">
        <v>21</v>
      </c>
      <c r="C34" s="6">
        <v>6</v>
      </c>
      <c r="D34" s="6">
        <v>0</v>
      </c>
      <c r="E34" s="6">
        <v>16</v>
      </c>
      <c r="F34" s="29">
        <f t="shared" si="2"/>
        <v>22</v>
      </c>
      <c r="H34" s="7">
        <v>77.83</v>
      </c>
      <c r="I34" s="7">
        <v>0</v>
      </c>
      <c r="J34" s="7">
        <v>93.62</v>
      </c>
      <c r="K34" s="7">
        <v>88.63</v>
      </c>
      <c r="M34" s="7">
        <v>371.66665999999998</v>
      </c>
      <c r="N34" s="7">
        <v>280</v>
      </c>
      <c r="O34" s="7">
        <v>308.94736999999998</v>
      </c>
      <c r="Q34" s="25">
        <v>4991.21</v>
      </c>
      <c r="R34" s="25">
        <v>3468.54</v>
      </c>
      <c r="S34" s="25">
        <v>3949.38</v>
      </c>
    </row>
    <row r="35" spans="1:19" x14ac:dyDescent="0.2">
      <c r="A35" s="27">
        <v>15</v>
      </c>
      <c r="B35" s="6" t="s">
        <v>22</v>
      </c>
      <c r="C35" s="6">
        <v>5</v>
      </c>
      <c r="D35" s="6">
        <v>0</v>
      </c>
      <c r="E35" s="6">
        <v>23</v>
      </c>
      <c r="F35" s="29">
        <f t="shared" si="2"/>
        <v>28</v>
      </c>
      <c r="H35" s="7">
        <v>80</v>
      </c>
      <c r="I35" s="7">
        <v>0</v>
      </c>
      <c r="J35" s="7">
        <v>75.59</v>
      </c>
      <c r="K35" s="7">
        <v>76.41</v>
      </c>
      <c r="M35" s="7">
        <v>301</v>
      </c>
      <c r="N35" s="7">
        <v>287.59523999999999</v>
      </c>
      <c r="O35" s="7">
        <v>290.17308000000003</v>
      </c>
      <c r="Q35" s="25">
        <v>4179.41</v>
      </c>
      <c r="R35" s="25">
        <v>3664.37</v>
      </c>
      <c r="S35" s="25">
        <v>3763.42</v>
      </c>
    </row>
    <row r="36" spans="1:19" x14ac:dyDescent="0.2">
      <c r="A36" s="27">
        <v>16</v>
      </c>
      <c r="B36" s="6" t="s">
        <v>23</v>
      </c>
      <c r="C36" s="6">
        <v>1</v>
      </c>
      <c r="D36" s="6">
        <v>0</v>
      </c>
      <c r="E36" s="6">
        <v>38</v>
      </c>
      <c r="F36" s="29">
        <f t="shared" si="2"/>
        <v>39</v>
      </c>
      <c r="H36" s="7">
        <v>64</v>
      </c>
      <c r="I36" s="7">
        <v>0</v>
      </c>
      <c r="J36" s="7">
        <v>68.739999999999995</v>
      </c>
      <c r="K36" s="7">
        <v>68.599999999999994</v>
      </c>
      <c r="M36" s="7">
        <v>0</v>
      </c>
      <c r="N36" s="7">
        <v>271.84210999999999</v>
      </c>
      <c r="O36" s="7">
        <v>284.6225</v>
      </c>
      <c r="Q36" s="25">
        <v>0</v>
      </c>
      <c r="R36" s="25">
        <v>3883.62</v>
      </c>
      <c r="S36" s="25">
        <v>4101.51</v>
      </c>
    </row>
    <row r="37" spans="1:19" x14ac:dyDescent="0.2">
      <c r="A37" s="27">
        <v>17</v>
      </c>
      <c r="B37" s="6" t="s">
        <v>24</v>
      </c>
      <c r="C37" s="6">
        <v>5</v>
      </c>
      <c r="D37" s="6">
        <v>0</v>
      </c>
      <c r="E37" s="6">
        <v>42</v>
      </c>
      <c r="F37" s="29">
        <f t="shared" si="2"/>
        <v>47</v>
      </c>
      <c r="H37" s="7">
        <v>84</v>
      </c>
      <c r="I37" s="7">
        <v>0</v>
      </c>
      <c r="J37" s="7">
        <v>70.39</v>
      </c>
      <c r="K37" s="7">
        <v>72.28</v>
      </c>
      <c r="M37" s="7">
        <v>198.9</v>
      </c>
      <c r="N37" s="7">
        <v>281.84552000000002</v>
      </c>
      <c r="O37" s="7">
        <v>249.9434</v>
      </c>
      <c r="Q37" s="25">
        <v>2877.49</v>
      </c>
      <c r="R37" s="25">
        <v>3594.15</v>
      </c>
      <c r="S37" s="25">
        <v>3318.51</v>
      </c>
    </row>
    <row r="38" spans="1:19" x14ac:dyDescent="0.2">
      <c r="A38" s="27">
        <v>18</v>
      </c>
      <c r="B38" s="6" t="s">
        <v>25</v>
      </c>
      <c r="C38" s="6">
        <v>0</v>
      </c>
      <c r="D38" s="6">
        <v>0</v>
      </c>
      <c r="E38" s="6">
        <v>82</v>
      </c>
      <c r="F38" s="29">
        <f t="shared" si="2"/>
        <v>82</v>
      </c>
      <c r="H38" s="7">
        <v>0</v>
      </c>
      <c r="I38" s="7">
        <v>0</v>
      </c>
      <c r="J38" s="7">
        <v>67.13</v>
      </c>
      <c r="K38" s="7">
        <v>67.13</v>
      </c>
      <c r="M38" s="7">
        <v>0</v>
      </c>
      <c r="N38" s="7">
        <v>265.37708000000003</v>
      </c>
      <c r="O38" s="7">
        <v>265.37708000000003</v>
      </c>
      <c r="Q38" s="25">
        <v>0</v>
      </c>
      <c r="R38" s="25">
        <v>3855.23</v>
      </c>
      <c r="S38" s="25">
        <v>3855.23</v>
      </c>
    </row>
    <row r="39" spans="1:19" x14ac:dyDescent="0.2">
      <c r="A39" s="27">
        <v>19</v>
      </c>
      <c r="B39" s="6" t="s">
        <v>26</v>
      </c>
      <c r="C39" s="6">
        <v>1</v>
      </c>
      <c r="D39" s="6">
        <v>1</v>
      </c>
      <c r="E39" s="6">
        <v>117</v>
      </c>
      <c r="F39" s="29">
        <f t="shared" si="2"/>
        <v>119</v>
      </c>
      <c r="H39" s="7">
        <v>0</v>
      </c>
      <c r="I39" s="7">
        <v>0</v>
      </c>
      <c r="J39" s="7">
        <v>82.92</v>
      </c>
      <c r="K39" s="7">
        <v>82.92</v>
      </c>
      <c r="M39" s="7">
        <v>0</v>
      </c>
      <c r="N39" s="7">
        <v>442.57605000000001</v>
      </c>
      <c r="O39" s="7">
        <v>442.57605000000001</v>
      </c>
      <c r="Q39" s="25">
        <v>0</v>
      </c>
      <c r="R39" s="25">
        <v>5408.15</v>
      </c>
      <c r="S39" s="25">
        <v>5408.15</v>
      </c>
    </row>
    <row r="40" spans="1:19" x14ac:dyDescent="0.2">
      <c r="A40" s="27">
        <v>20</v>
      </c>
      <c r="B40" s="6" t="s">
        <v>27</v>
      </c>
      <c r="C40" s="6">
        <v>0</v>
      </c>
      <c r="D40" s="6">
        <v>0</v>
      </c>
      <c r="E40" s="6">
        <v>47</v>
      </c>
      <c r="F40" s="29">
        <f t="shared" si="2"/>
        <v>47</v>
      </c>
      <c r="H40" s="7">
        <v>0</v>
      </c>
      <c r="I40" s="7">
        <v>0</v>
      </c>
      <c r="J40" s="7">
        <v>78.260000000000005</v>
      </c>
      <c r="K40" s="7">
        <v>78.260000000000005</v>
      </c>
      <c r="M40" s="7">
        <v>0</v>
      </c>
      <c r="N40" s="7">
        <v>366.99409000000003</v>
      </c>
      <c r="O40" s="7">
        <v>366.99409000000003</v>
      </c>
      <c r="Q40" s="25">
        <v>0</v>
      </c>
      <c r="R40" s="25">
        <v>4318.3100000000004</v>
      </c>
      <c r="S40" s="25">
        <v>4318.3100000000004</v>
      </c>
    </row>
    <row r="41" spans="1:19" x14ac:dyDescent="0.2">
      <c r="A41" s="27">
        <v>21</v>
      </c>
      <c r="B41" s="6" t="s">
        <v>28</v>
      </c>
      <c r="C41" s="6">
        <v>0</v>
      </c>
      <c r="D41" s="6">
        <v>0</v>
      </c>
      <c r="E41" s="6">
        <v>16</v>
      </c>
      <c r="F41" s="29">
        <f t="shared" si="2"/>
        <v>16</v>
      </c>
      <c r="H41" s="7">
        <v>0</v>
      </c>
      <c r="I41" s="7">
        <v>0</v>
      </c>
      <c r="J41" s="7">
        <v>166.43</v>
      </c>
      <c r="K41" s="7">
        <v>166.43</v>
      </c>
      <c r="M41" s="7">
        <v>0</v>
      </c>
      <c r="N41" s="7">
        <v>1700.4137700000001</v>
      </c>
      <c r="O41" s="7">
        <v>1700.4137700000001</v>
      </c>
      <c r="Q41" s="25">
        <v>0</v>
      </c>
      <c r="R41" s="25">
        <v>8411.7099999999991</v>
      </c>
      <c r="S41" s="25">
        <v>8411.7099999999991</v>
      </c>
    </row>
    <row r="42" spans="1:19" x14ac:dyDescent="0.2">
      <c r="A42" s="27">
        <v>22</v>
      </c>
      <c r="B42" s="6" t="s">
        <v>29</v>
      </c>
      <c r="C42" s="6">
        <v>1</v>
      </c>
      <c r="D42" s="6">
        <v>0</v>
      </c>
      <c r="E42" s="6">
        <v>2</v>
      </c>
      <c r="F42" s="29">
        <f t="shared" si="2"/>
        <v>3</v>
      </c>
      <c r="H42" s="7">
        <v>86</v>
      </c>
      <c r="I42" s="7">
        <v>0</v>
      </c>
      <c r="J42" s="7">
        <v>123</v>
      </c>
      <c r="K42" s="7">
        <v>110.67</v>
      </c>
      <c r="M42" s="7">
        <v>0</v>
      </c>
      <c r="N42" s="7">
        <v>0</v>
      </c>
      <c r="O42" s="7">
        <v>475</v>
      </c>
      <c r="Q42" s="25">
        <v>0</v>
      </c>
      <c r="R42" s="25">
        <v>0</v>
      </c>
      <c r="S42" s="25">
        <v>4316.07</v>
      </c>
    </row>
    <row r="43" spans="1:19" x14ac:dyDescent="0.2">
      <c r="A43" s="27">
        <v>23</v>
      </c>
      <c r="B43" s="6" t="s">
        <v>30</v>
      </c>
      <c r="C43" s="6">
        <v>3</v>
      </c>
      <c r="D43" s="6">
        <v>0</v>
      </c>
      <c r="E43" s="6">
        <v>36</v>
      </c>
      <c r="F43" s="29">
        <f t="shared" si="2"/>
        <v>39</v>
      </c>
      <c r="H43" s="7">
        <v>224.67</v>
      </c>
      <c r="I43" s="7">
        <v>0</v>
      </c>
      <c r="J43" s="7">
        <v>126.97</v>
      </c>
      <c r="K43" s="7">
        <v>134.88999999999999</v>
      </c>
      <c r="M43" s="7">
        <v>2781.25</v>
      </c>
      <c r="N43" s="7">
        <v>754.05123000000003</v>
      </c>
      <c r="O43" s="7">
        <v>922.98446000000001</v>
      </c>
      <c r="Q43" s="25">
        <v>11394.55</v>
      </c>
      <c r="R43" s="25">
        <v>6596.83</v>
      </c>
      <c r="S43" s="25">
        <v>6996.64</v>
      </c>
    </row>
    <row r="44" spans="1:19" x14ac:dyDescent="0.2">
      <c r="A44" s="27">
        <v>24</v>
      </c>
      <c r="B44" s="6" t="s">
        <v>31</v>
      </c>
      <c r="C44" s="6">
        <v>0</v>
      </c>
      <c r="D44" s="6">
        <v>0</v>
      </c>
      <c r="E44" s="6">
        <v>26</v>
      </c>
      <c r="F44" s="29">
        <f t="shared" si="2"/>
        <v>26</v>
      </c>
      <c r="H44" s="7">
        <v>0</v>
      </c>
      <c r="I44" s="7">
        <v>0</v>
      </c>
      <c r="J44" s="7">
        <v>160.91</v>
      </c>
      <c r="K44" s="7">
        <v>160.91</v>
      </c>
      <c r="M44" s="7">
        <v>0</v>
      </c>
      <c r="N44" s="7">
        <v>946.8605500000001</v>
      </c>
      <c r="O44" s="7">
        <v>946.8605500000001</v>
      </c>
      <c r="Q44" s="25">
        <v>0</v>
      </c>
      <c r="R44" s="25">
        <v>5901.75</v>
      </c>
      <c r="S44" s="25">
        <v>5901.75</v>
      </c>
    </row>
    <row r="45" spans="1:19" x14ac:dyDescent="0.2">
      <c r="A45" s="27">
        <v>25</v>
      </c>
      <c r="B45" s="6" t="s">
        <v>32</v>
      </c>
      <c r="C45" s="6">
        <v>9</v>
      </c>
      <c r="D45" s="6">
        <v>0</v>
      </c>
      <c r="E45" s="6">
        <v>39</v>
      </c>
      <c r="F45" s="29">
        <f t="shared" si="2"/>
        <v>48</v>
      </c>
      <c r="H45" s="7">
        <v>103.86</v>
      </c>
      <c r="I45" s="7">
        <v>0</v>
      </c>
      <c r="J45" s="7">
        <v>114.36</v>
      </c>
      <c r="K45" s="7">
        <v>112.52</v>
      </c>
      <c r="M45" s="7">
        <v>674.28570999999999</v>
      </c>
      <c r="N45" s="7">
        <v>773.75454999999999</v>
      </c>
      <c r="O45" s="7">
        <v>756.34749999999997</v>
      </c>
      <c r="Q45" s="25">
        <v>7125.82</v>
      </c>
      <c r="R45" s="25">
        <v>6931.2</v>
      </c>
      <c r="S45" s="25">
        <v>6965.26</v>
      </c>
    </row>
    <row r="46" spans="1:19" x14ac:dyDescent="0.2">
      <c r="A46" s="27">
        <v>26</v>
      </c>
      <c r="B46" s="6" t="s">
        <v>33</v>
      </c>
      <c r="C46" s="6">
        <v>26</v>
      </c>
      <c r="D46" s="6">
        <v>0</v>
      </c>
      <c r="E46" s="6">
        <v>115</v>
      </c>
      <c r="F46" s="29">
        <f t="shared" si="2"/>
        <v>141</v>
      </c>
      <c r="H46" s="7">
        <v>119.95</v>
      </c>
      <c r="I46" s="7">
        <v>0</v>
      </c>
      <c r="J46" s="7">
        <v>131.81</v>
      </c>
      <c r="K46" s="7">
        <v>129.9</v>
      </c>
      <c r="M46" s="7">
        <v>789.65</v>
      </c>
      <c r="N46" s="7">
        <v>771.33861000000002</v>
      </c>
      <c r="O46" s="7">
        <v>774.34047999999996</v>
      </c>
      <c r="Q46" s="25">
        <v>6708.98</v>
      </c>
      <c r="R46" s="25">
        <v>5809.19</v>
      </c>
      <c r="S46" s="25">
        <v>5956.7</v>
      </c>
    </row>
    <row r="47" spans="1:19" x14ac:dyDescent="0.2">
      <c r="A47" s="27">
        <v>27</v>
      </c>
      <c r="B47" s="6" t="s">
        <v>34</v>
      </c>
      <c r="C47" s="6">
        <v>5</v>
      </c>
      <c r="D47" s="6">
        <v>0</v>
      </c>
      <c r="E47" s="6">
        <v>50</v>
      </c>
      <c r="F47" s="29">
        <f t="shared" si="2"/>
        <v>55</v>
      </c>
      <c r="H47" s="7">
        <v>65.599999999999994</v>
      </c>
      <c r="I47" s="7">
        <v>0</v>
      </c>
      <c r="J47" s="7">
        <v>102.51</v>
      </c>
      <c r="K47" s="7">
        <v>98.82</v>
      </c>
      <c r="M47" s="7">
        <v>378.6</v>
      </c>
      <c r="N47" s="7">
        <v>487.42252000000002</v>
      </c>
      <c r="O47" s="7">
        <v>475.59398999999996</v>
      </c>
      <c r="Q47" s="25">
        <v>5958.66</v>
      </c>
      <c r="R47" s="25">
        <v>4835.18</v>
      </c>
      <c r="S47" s="25">
        <v>4957.3</v>
      </c>
    </row>
    <row r="48" spans="1:19" x14ac:dyDescent="0.2">
      <c r="A48" s="27">
        <v>28</v>
      </c>
      <c r="B48" s="6" t="s">
        <v>35</v>
      </c>
      <c r="C48" s="6">
        <v>15</v>
      </c>
      <c r="D48" s="6">
        <v>0</v>
      </c>
      <c r="E48" s="6">
        <v>27</v>
      </c>
      <c r="F48" s="29">
        <f t="shared" si="2"/>
        <v>42</v>
      </c>
      <c r="H48" s="7">
        <v>99.07</v>
      </c>
      <c r="I48" s="7">
        <v>0</v>
      </c>
      <c r="J48" s="7">
        <v>96.52</v>
      </c>
      <c r="K48" s="7">
        <v>97.44</v>
      </c>
      <c r="M48" s="7">
        <v>518.14286000000004</v>
      </c>
      <c r="N48" s="7">
        <v>424.95008000000001</v>
      </c>
      <c r="O48" s="7">
        <v>459.28426000000002</v>
      </c>
      <c r="Q48" s="25">
        <v>5930.78</v>
      </c>
      <c r="R48" s="25">
        <v>4152.49</v>
      </c>
      <c r="S48" s="25">
        <v>4807.6499999999996</v>
      </c>
    </row>
    <row r="49" spans="1:19" x14ac:dyDescent="0.2">
      <c r="A49" s="27">
        <v>29</v>
      </c>
      <c r="B49" s="6" t="s">
        <v>36</v>
      </c>
      <c r="C49" s="6">
        <v>4</v>
      </c>
      <c r="D49" s="6">
        <v>0</v>
      </c>
      <c r="E49" s="6">
        <v>5</v>
      </c>
      <c r="F49" s="29">
        <f t="shared" si="2"/>
        <v>9</v>
      </c>
      <c r="H49" s="7">
        <v>75.25</v>
      </c>
      <c r="I49" s="7">
        <v>0</v>
      </c>
      <c r="J49" s="7">
        <v>70.400000000000006</v>
      </c>
      <c r="K49" s="7">
        <v>72.56</v>
      </c>
      <c r="M49" s="7">
        <v>274.5</v>
      </c>
      <c r="N49" s="7">
        <v>276</v>
      </c>
      <c r="O49" s="7">
        <v>275.33332999999999</v>
      </c>
      <c r="Q49" s="25">
        <v>3536.45</v>
      </c>
      <c r="R49" s="25">
        <v>3788.31</v>
      </c>
      <c r="S49" s="25">
        <v>3676.37</v>
      </c>
    </row>
    <row r="50" spans="1:19" x14ac:dyDescent="0.2">
      <c r="A50" s="27">
        <v>30</v>
      </c>
      <c r="B50" s="6" t="s">
        <v>37</v>
      </c>
      <c r="C50" s="6">
        <v>2</v>
      </c>
      <c r="D50" s="6">
        <v>0</v>
      </c>
      <c r="E50" s="6">
        <v>33</v>
      </c>
      <c r="F50" s="29">
        <f t="shared" si="2"/>
        <v>35</v>
      </c>
      <c r="H50" s="7">
        <v>81</v>
      </c>
      <c r="I50" s="7">
        <v>0</v>
      </c>
      <c r="J50" s="7">
        <v>81.73</v>
      </c>
      <c r="K50" s="7">
        <v>81.709999999999994</v>
      </c>
      <c r="M50" s="7">
        <v>0</v>
      </c>
      <c r="N50" s="7">
        <v>375.72032000000002</v>
      </c>
      <c r="O50" s="7">
        <v>379.24546999999995</v>
      </c>
      <c r="Q50" s="25">
        <v>0</v>
      </c>
      <c r="R50" s="25">
        <v>4854.4799999999996</v>
      </c>
      <c r="S50" s="25">
        <v>4891.03</v>
      </c>
    </row>
    <row r="51" spans="1:19" x14ac:dyDescent="0.2">
      <c r="A51" s="27">
        <v>31</v>
      </c>
      <c r="B51" s="6" t="s">
        <v>38</v>
      </c>
      <c r="C51" s="6">
        <v>7</v>
      </c>
      <c r="D51" s="6">
        <v>0</v>
      </c>
      <c r="E51" s="6">
        <v>118</v>
      </c>
      <c r="F51" s="29">
        <f t="shared" si="2"/>
        <v>125</v>
      </c>
      <c r="H51" s="7">
        <v>68</v>
      </c>
      <c r="I51" s="7">
        <v>0</v>
      </c>
      <c r="J51" s="7">
        <v>68.959999999999994</v>
      </c>
      <c r="K51" s="7">
        <v>68.900000000000006</v>
      </c>
      <c r="M51" s="7">
        <v>296.83366999999998</v>
      </c>
      <c r="N51" s="7">
        <v>341.72278</v>
      </c>
      <c r="O51" s="7">
        <v>339.05609999999996</v>
      </c>
      <c r="Q51" s="25">
        <v>4724.4399999999996</v>
      </c>
      <c r="R51" s="25">
        <v>5105</v>
      </c>
      <c r="S51" s="25">
        <v>5082.3900000000003</v>
      </c>
    </row>
    <row r="52" spans="1:19" x14ac:dyDescent="0.2">
      <c r="A52" s="27">
        <v>32</v>
      </c>
      <c r="B52" s="6" t="s">
        <v>39</v>
      </c>
      <c r="C52" s="6">
        <v>5</v>
      </c>
      <c r="D52" s="6">
        <v>0</v>
      </c>
      <c r="E52" s="6">
        <v>88</v>
      </c>
      <c r="F52" s="29">
        <f t="shared" si="2"/>
        <v>93</v>
      </c>
      <c r="H52" s="7">
        <v>100.4</v>
      </c>
      <c r="I52" s="7">
        <v>0</v>
      </c>
      <c r="J52" s="7">
        <v>76.819999999999993</v>
      </c>
      <c r="K52" s="7">
        <v>78.13</v>
      </c>
      <c r="M52" s="7">
        <v>690.44001000000003</v>
      </c>
      <c r="N52" s="7">
        <v>358.62955999999997</v>
      </c>
      <c r="O52" s="7">
        <v>377.48242999999997</v>
      </c>
      <c r="Q52" s="25">
        <v>7091.67</v>
      </c>
      <c r="R52" s="25">
        <v>4576.6000000000004</v>
      </c>
      <c r="S52" s="25">
        <v>4719.5</v>
      </c>
    </row>
    <row r="53" spans="1:19" x14ac:dyDescent="0.2">
      <c r="A53" s="27">
        <v>33</v>
      </c>
      <c r="B53" s="6" t="s">
        <v>40</v>
      </c>
      <c r="C53" s="6">
        <v>3</v>
      </c>
      <c r="D53" s="6">
        <v>0</v>
      </c>
      <c r="E53" s="6">
        <v>40</v>
      </c>
      <c r="F53" s="29">
        <f t="shared" si="2"/>
        <v>43</v>
      </c>
      <c r="H53" s="7">
        <v>61</v>
      </c>
      <c r="I53" s="7">
        <v>0</v>
      </c>
      <c r="J53" s="7">
        <v>72.56</v>
      </c>
      <c r="K53" s="7">
        <v>71.88</v>
      </c>
      <c r="M53" s="7">
        <v>238</v>
      </c>
      <c r="N53" s="7">
        <v>272.58506</v>
      </c>
      <c r="O53" s="7">
        <v>270.55063999999999</v>
      </c>
      <c r="Q53" s="25">
        <v>3877.88</v>
      </c>
      <c r="R53" s="25">
        <v>4082.51</v>
      </c>
      <c r="S53" s="25">
        <v>4070.47</v>
      </c>
    </row>
    <row r="54" spans="1:19" x14ac:dyDescent="0.2">
      <c r="A54" s="27">
        <v>34</v>
      </c>
      <c r="B54" s="6" t="s">
        <v>41</v>
      </c>
      <c r="C54" s="6">
        <v>0</v>
      </c>
      <c r="D54" s="6">
        <v>0</v>
      </c>
      <c r="E54" s="6">
        <v>24</v>
      </c>
      <c r="F54" s="29">
        <f t="shared" si="2"/>
        <v>24</v>
      </c>
      <c r="H54" s="7">
        <v>0</v>
      </c>
      <c r="I54" s="7">
        <v>0</v>
      </c>
      <c r="J54" s="7">
        <v>60.89</v>
      </c>
      <c r="K54" s="7">
        <v>60.89</v>
      </c>
      <c r="M54" s="7">
        <v>0</v>
      </c>
      <c r="N54" s="7">
        <v>176.71146999999999</v>
      </c>
      <c r="O54" s="7">
        <v>176.71146999999999</v>
      </c>
      <c r="Q54" s="25">
        <v>0</v>
      </c>
      <c r="R54" s="25">
        <v>2998.37</v>
      </c>
      <c r="S54" s="25">
        <v>2998.37</v>
      </c>
    </row>
    <row r="55" spans="1:19" x14ac:dyDescent="0.2">
      <c r="A55" s="27">
        <v>35</v>
      </c>
      <c r="B55" s="6" t="s">
        <v>42</v>
      </c>
      <c r="C55" s="6">
        <v>1</v>
      </c>
      <c r="D55" s="6">
        <v>0</v>
      </c>
      <c r="E55" s="6">
        <v>60</v>
      </c>
      <c r="F55" s="29">
        <f t="shared" si="2"/>
        <v>61</v>
      </c>
      <c r="H55" s="7">
        <v>71</v>
      </c>
      <c r="I55" s="7">
        <v>0</v>
      </c>
      <c r="J55" s="7">
        <v>77.099999999999994</v>
      </c>
      <c r="K55" s="7">
        <v>76.98</v>
      </c>
      <c r="M55" s="7">
        <v>0</v>
      </c>
      <c r="N55" s="7">
        <v>263.40181999999999</v>
      </c>
      <c r="O55" s="7">
        <v>263.33640000000003</v>
      </c>
      <c r="Q55" s="25">
        <v>0</v>
      </c>
      <c r="R55" s="25">
        <v>3599.72</v>
      </c>
      <c r="S55" s="25">
        <v>3600.92</v>
      </c>
    </row>
    <row r="56" spans="1:19" x14ac:dyDescent="0.2">
      <c r="A56" s="27">
        <v>36</v>
      </c>
      <c r="B56" s="6" t="s">
        <v>43</v>
      </c>
      <c r="C56" s="6">
        <v>1</v>
      </c>
      <c r="D56" s="6">
        <v>0</v>
      </c>
      <c r="E56" s="6">
        <v>21</v>
      </c>
      <c r="F56" s="29">
        <f t="shared" si="2"/>
        <v>22</v>
      </c>
      <c r="H56" s="7">
        <v>37</v>
      </c>
      <c r="I56" s="7">
        <v>0</v>
      </c>
      <c r="J56" s="7">
        <v>70.58</v>
      </c>
      <c r="K56" s="7">
        <v>68.900000000000006</v>
      </c>
      <c r="M56" s="7">
        <v>0</v>
      </c>
      <c r="N56" s="7">
        <v>322.74545000000001</v>
      </c>
      <c r="O56" s="7">
        <v>311.60818</v>
      </c>
      <c r="Q56" s="25">
        <v>0</v>
      </c>
      <c r="R56" s="25">
        <v>4309.55</v>
      </c>
      <c r="S56" s="25">
        <v>4229.21</v>
      </c>
    </row>
    <row r="57" spans="1:19" x14ac:dyDescent="0.2">
      <c r="A57" s="27">
        <v>37</v>
      </c>
      <c r="B57" s="6" t="s">
        <v>44</v>
      </c>
      <c r="C57" s="6">
        <v>8</v>
      </c>
      <c r="D57" s="6">
        <v>0</v>
      </c>
      <c r="E57" s="6">
        <v>65</v>
      </c>
      <c r="F57" s="29">
        <f t="shared" si="2"/>
        <v>73</v>
      </c>
      <c r="H57" s="7">
        <v>63.13</v>
      </c>
      <c r="I57" s="7">
        <v>0</v>
      </c>
      <c r="J57" s="7">
        <v>65.540000000000006</v>
      </c>
      <c r="K57" s="7">
        <v>65.239999999999995</v>
      </c>
      <c r="M57" s="7">
        <v>140.6875</v>
      </c>
      <c r="N57" s="7">
        <v>158.70751999999999</v>
      </c>
      <c r="O57" s="7">
        <v>156.38235999999998</v>
      </c>
      <c r="Q57" s="25">
        <v>2256.52</v>
      </c>
      <c r="R57" s="25">
        <v>2599.88</v>
      </c>
      <c r="S57" s="25">
        <v>2555.58</v>
      </c>
    </row>
    <row r="58" spans="1:19" x14ac:dyDescent="0.2">
      <c r="A58" s="27">
        <v>38</v>
      </c>
      <c r="B58" s="6" t="s">
        <v>45</v>
      </c>
      <c r="C58" s="6">
        <v>7</v>
      </c>
      <c r="D58" s="6">
        <v>0</v>
      </c>
      <c r="E58" s="6">
        <v>18</v>
      </c>
      <c r="F58" s="29">
        <f t="shared" si="2"/>
        <v>25</v>
      </c>
      <c r="H58" s="7">
        <v>67</v>
      </c>
      <c r="I58" s="7">
        <v>0</v>
      </c>
      <c r="J58" s="7">
        <v>70.650000000000006</v>
      </c>
      <c r="K58" s="7">
        <v>69.7</v>
      </c>
      <c r="M58" s="7">
        <v>186.33332999999999</v>
      </c>
      <c r="N58" s="7">
        <v>199.76673000000002</v>
      </c>
      <c r="O58" s="7">
        <v>195.92862</v>
      </c>
      <c r="Q58" s="25">
        <v>2834.74</v>
      </c>
      <c r="R58" s="25">
        <v>2953.34</v>
      </c>
      <c r="S58" s="25">
        <v>2919.45</v>
      </c>
    </row>
    <row r="59" spans="1:19" x14ac:dyDescent="0.2">
      <c r="A59" s="27">
        <v>39</v>
      </c>
      <c r="B59" s="6" t="s">
        <v>46</v>
      </c>
      <c r="C59" s="6">
        <v>4</v>
      </c>
      <c r="D59" s="6">
        <v>0</v>
      </c>
      <c r="E59" s="6">
        <v>7</v>
      </c>
      <c r="F59" s="29">
        <f t="shared" si="2"/>
        <v>11</v>
      </c>
      <c r="H59" s="7">
        <v>64.5</v>
      </c>
      <c r="I59" s="7">
        <v>0</v>
      </c>
      <c r="J59" s="7">
        <v>65.17</v>
      </c>
      <c r="K59" s="7">
        <v>64.900000000000006</v>
      </c>
      <c r="M59" s="7">
        <v>283.5</v>
      </c>
      <c r="N59" s="7">
        <v>271.33332999999999</v>
      </c>
      <c r="O59" s="7">
        <v>276.2</v>
      </c>
      <c r="Q59" s="25">
        <v>4452</v>
      </c>
      <c r="R59" s="25">
        <v>3870.34</v>
      </c>
      <c r="S59" s="25">
        <v>4103</v>
      </c>
    </row>
    <row r="60" spans="1:19" x14ac:dyDescent="0.2">
      <c r="A60" s="27">
        <v>40</v>
      </c>
      <c r="B60" s="6" t="s">
        <v>47</v>
      </c>
      <c r="C60" s="6">
        <v>1</v>
      </c>
      <c r="D60" s="6">
        <v>0</v>
      </c>
      <c r="E60" s="6">
        <v>6</v>
      </c>
      <c r="F60" s="29">
        <f t="shared" si="2"/>
        <v>7</v>
      </c>
      <c r="H60" s="7">
        <v>64</v>
      </c>
      <c r="I60" s="7">
        <v>0</v>
      </c>
      <c r="J60" s="7">
        <v>68.17</v>
      </c>
      <c r="K60" s="7">
        <v>67.569999999999993</v>
      </c>
      <c r="M60" s="7">
        <v>0</v>
      </c>
      <c r="N60" s="7">
        <v>198.6</v>
      </c>
      <c r="O60" s="7">
        <v>190.5</v>
      </c>
      <c r="Q60" s="25">
        <v>0</v>
      </c>
      <c r="R60" s="25">
        <v>3212.17</v>
      </c>
      <c r="S60" s="25">
        <v>3067.43</v>
      </c>
    </row>
    <row r="61" spans="1:19" x14ac:dyDescent="0.2">
      <c r="A61" s="27">
        <v>41</v>
      </c>
      <c r="B61" s="6" t="s">
        <v>48</v>
      </c>
      <c r="C61" s="6">
        <v>2</v>
      </c>
      <c r="D61" s="6">
        <v>0</v>
      </c>
      <c r="E61" s="6">
        <v>10</v>
      </c>
      <c r="F61" s="29">
        <f t="shared" si="2"/>
        <v>12</v>
      </c>
      <c r="H61" s="7">
        <v>50</v>
      </c>
      <c r="I61" s="7">
        <v>0</v>
      </c>
      <c r="J61" s="7">
        <v>66.5</v>
      </c>
      <c r="K61" s="7">
        <v>65</v>
      </c>
      <c r="M61" s="7">
        <v>0</v>
      </c>
      <c r="N61" s="7">
        <v>243.2</v>
      </c>
      <c r="O61" s="7">
        <v>242.27273000000002</v>
      </c>
      <c r="Q61" s="25">
        <v>0</v>
      </c>
      <c r="R61" s="25">
        <v>3771.34</v>
      </c>
      <c r="S61" s="25">
        <v>3852.13</v>
      </c>
    </row>
    <row r="62" spans="1:19" x14ac:dyDescent="0.2">
      <c r="A62" s="27">
        <v>42</v>
      </c>
      <c r="B62" s="6" t="s">
        <v>49</v>
      </c>
      <c r="C62" s="6">
        <v>39</v>
      </c>
      <c r="D62" s="6">
        <v>0</v>
      </c>
      <c r="E62" s="6">
        <v>0</v>
      </c>
      <c r="F62" s="29">
        <f t="shared" si="2"/>
        <v>39</v>
      </c>
      <c r="H62" s="7">
        <v>85.26</v>
      </c>
      <c r="I62" s="7">
        <v>0</v>
      </c>
      <c r="J62" s="7">
        <v>0</v>
      </c>
      <c r="K62" s="7">
        <v>85.26</v>
      </c>
      <c r="M62" s="7">
        <v>343.42140000000001</v>
      </c>
      <c r="N62" s="7">
        <v>0</v>
      </c>
      <c r="O62" s="7">
        <v>343.42140000000001</v>
      </c>
      <c r="Q62" s="25">
        <v>3947.06</v>
      </c>
      <c r="R62" s="25">
        <v>0</v>
      </c>
      <c r="S62" s="25">
        <v>3947.06</v>
      </c>
    </row>
    <row r="63" spans="1:19" x14ac:dyDescent="0.2">
      <c r="A63" s="27">
        <v>43</v>
      </c>
      <c r="B63" s="6" t="s">
        <v>50</v>
      </c>
      <c r="C63" s="6">
        <v>4</v>
      </c>
      <c r="D63" s="6">
        <v>2</v>
      </c>
      <c r="E63" s="6">
        <v>49</v>
      </c>
      <c r="F63" s="29">
        <f t="shared" si="2"/>
        <v>55</v>
      </c>
      <c r="H63" s="7">
        <v>121.67</v>
      </c>
      <c r="I63" s="7">
        <v>67.5</v>
      </c>
      <c r="J63" s="7">
        <v>64.38</v>
      </c>
      <c r="K63" s="7">
        <v>68.430000000000007</v>
      </c>
      <c r="M63" s="7">
        <v>460.9</v>
      </c>
      <c r="N63" s="7">
        <v>247.55500000000001</v>
      </c>
      <c r="O63" s="7">
        <v>271.26</v>
      </c>
      <c r="Q63" s="25">
        <v>4017.72</v>
      </c>
      <c r="R63" s="25">
        <v>3820.09</v>
      </c>
      <c r="S63" s="25">
        <v>3842.05</v>
      </c>
    </row>
    <row r="64" spans="1:19" x14ac:dyDescent="0.2">
      <c r="A64" s="27">
        <v>44</v>
      </c>
      <c r="B64" s="6" t="s">
        <v>51</v>
      </c>
      <c r="C64" s="6">
        <v>1</v>
      </c>
      <c r="D64" s="6">
        <v>0</v>
      </c>
      <c r="E64" s="6">
        <v>61</v>
      </c>
      <c r="F64" s="29">
        <f t="shared" si="2"/>
        <v>62</v>
      </c>
      <c r="H64" s="7">
        <v>0</v>
      </c>
      <c r="I64" s="7">
        <v>0</v>
      </c>
      <c r="J64" s="7">
        <v>71.94</v>
      </c>
      <c r="K64" s="7">
        <v>71.94</v>
      </c>
      <c r="M64" s="7">
        <v>0</v>
      </c>
      <c r="N64" s="7">
        <v>249.18176</v>
      </c>
      <c r="O64" s="7">
        <v>249.18176</v>
      </c>
      <c r="Q64" s="25">
        <v>0</v>
      </c>
      <c r="R64" s="25">
        <v>3378.8</v>
      </c>
      <c r="S64" s="25">
        <v>3378.8</v>
      </c>
    </row>
    <row r="65" spans="1:19" x14ac:dyDescent="0.2">
      <c r="A65" s="27">
        <v>45</v>
      </c>
      <c r="B65" s="6" t="s">
        <v>52</v>
      </c>
      <c r="C65" s="6">
        <v>1</v>
      </c>
      <c r="D65" s="6">
        <v>0</v>
      </c>
      <c r="E65" s="6">
        <v>52</v>
      </c>
      <c r="F65" s="29">
        <f t="shared" si="2"/>
        <v>53</v>
      </c>
      <c r="H65" s="7">
        <v>65</v>
      </c>
      <c r="I65" s="7">
        <v>0</v>
      </c>
      <c r="J65" s="7">
        <v>66.83</v>
      </c>
      <c r="K65" s="7">
        <v>66.790000000000006</v>
      </c>
      <c r="M65" s="7">
        <v>0</v>
      </c>
      <c r="N65" s="7">
        <v>214.72004000000001</v>
      </c>
      <c r="O65" s="7">
        <v>209.92311999999998</v>
      </c>
      <c r="Q65" s="25">
        <v>0</v>
      </c>
      <c r="R65" s="25">
        <v>3011.48</v>
      </c>
      <c r="S65" s="25">
        <v>2948.91</v>
      </c>
    </row>
    <row r="66" spans="1:19" x14ac:dyDescent="0.2">
      <c r="A66" s="27">
        <v>46</v>
      </c>
      <c r="B66" s="6" t="s">
        <v>53</v>
      </c>
      <c r="C66" s="6">
        <v>0</v>
      </c>
      <c r="D66" s="6">
        <v>0</v>
      </c>
      <c r="E66" s="6">
        <v>40</v>
      </c>
      <c r="F66" s="29">
        <f t="shared" si="2"/>
        <v>40</v>
      </c>
      <c r="H66" s="7">
        <v>0</v>
      </c>
      <c r="I66" s="7">
        <v>0</v>
      </c>
      <c r="J66" s="7">
        <v>65.94</v>
      </c>
      <c r="K66" s="7">
        <v>65.94</v>
      </c>
      <c r="M66" s="7">
        <v>0</v>
      </c>
      <c r="N66" s="7">
        <v>161.41999999999999</v>
      </c>
      <c r="O66" s="7">
        <v>161.41999999999999</v>
      </c>
      <c r="Q66" s="25">
        <v>0</v>
      </c>
      <c r="R66" s="25">
        <v>2417.5</v>
      </c>
      <c r="S66" s="25">
        <v>2417.5</v>
      </c>
    </row>
    <row r="67" spans="1:19" x14ac:dyDescent="0.2">
      <c r="A67" s="27">
        <v>47</v>
      </c>
      <c r="B67" s="6" t="s">
        <v>54</v>
      </c>
      <c r="C67" s="6">
        <v>0</v>
      </c>
      <c r="D67" s="6">
        <v>0</v>
      </c>
      <c r="E67" s="6">
        <v>0</v>
      </c>
      <c r="F67" s="29">
        <f t="shared" si="2"/>
        <v>0</v>
      </c>
      <c r="H67" s="7">
        <v>0</v>
      </c>
      <c r="I67" s="7">
        <v>0</v>
      </c>
      <c r="J67" s="7">
        <v>0</v>
      </c>
      <c r="K67" s="7">
        <v>0</v>
      </c>
      <c r="M67" s="7">
        <v>0</v>
      </c>
      <c r="N67" s="7">
        <v>0</v>
      </c>
      <c r="O67" s="7">
        <v>0</v>
      </c>
      <c r="Q67" s="25">
        <v>0</v>
      </c>
      <c r="R67" s="25">
        <v>0</v>
      </c>
      <c r="S67" s="25">
        <v>0</v>
      </c>
    </row>
    <row r="68" spans="1:19" x14ac:dyDescent="0.2">
      <c r="A68" s="27">
        <v>48</v>
      </c>
      <c r="B68" s="6" t="s">
        <v>55</v>
      </c>
      <c r="C68" s="6">
        <v>0</v>
      </c>
      <c r="D68" s="6">
        <v>0</v>
      </c>
      <c r="E68" s="6">
        <v>29</v>
      </c>
      <c r="F68" s="29">
        <f t="shared" si="2"/>
        <v>29</v>
      </c>
      <c r="H68" s="7">
        <v>0</v>
      </c>
      <c r="I68" s="7">
        <v>0</v>
      </c>
      <c r="J68" s="7">
        <v>68.680000000000007</v>
      </c>
      <c r="K68" s="7">
        <v>68.680000000000007</v>
      </c>
      <c r="M68" s="7">
        <v>0</v>
      </c>
      <c r="N68" s="7">
        <v>183.31154000000001</v>
      </c>
      <c r="O68" s="7">
        <v>183.31154000000001</v>
      </c>
      <c r="Q68" s="25">
        <v>0</v>
      </c>
      <c r="R68" s="25">
        <v>2686.75</v>
      </c>
      <c r="S68" s="25">
        <v>2686.75</v>
      </c>
    </row>
    <row r="69" spans="1:19" x14ac:dyDescent="0.2">
      <c r="A69" s="27">
        <v>49</v>
      </c>
      <c r="B69" s="6" t="s">
        <v>56</v>
      </c>
      <c r="C69" s="6">
        <v>0</v>
      </c>
      <c r="D69" s="6">
        <v>0</v>
      </c>
      <c r="E69" s="6">
        <v>6</v>
      </c>
      <c r="F69" s="29">
        <f t="shared" si="2"/>
        <v>6</v>
      </c>
      <c r="H69" s="7">
        <v>0</v>
      </c>
      <c r="I69" s="7">
        <v>0</v>
      </c>
      <c r="J69" s="7">
        <v>68.2</v>
      </c>
      <c r="K69" s="7">
        <v>68.2</v>
      </c>
      <c r="M69" s="7">
        <v>0</v>
      </c>
      <c r="N69" s="7">
        <v>0</v>
      </c>
      <c r="O69" s="7">
        <v>0</v>
      </c>
      <c r="Q69" s="25">
        <v>0</v>
      </c>
      <c r="R69" s="25">
        <v>0</v>
      </c>
      <c r="S69" s="25">
        <v>0</v>
      </c>
    </row>
    <row r="70" spans="1:19" x14ac:dyDescent="0.2">
      <c r="A70" s="27">
        <v>50</v>
      </c>
      <c r="B70" s="6" t="s">
        <v>57</v>
      </c>
      <c r="C70" s="6">
        <v>0</v>
      </c>
      <c r="D70" s="6">
        <v>0</v>
      </c>
      <c r="E70" s="6">
        <v>45</v>
      </c>
      <c r="F70" s="29">
        <f t="shared" si="2"/>
        <v>45</v>
      </c>
      <c r="H70" s="7">
        <v>0</v>
      </c>
      <c r="I70" s="7">
        <v>0</v>
      </c>
      <c r="J70" s="7">
        <v>61.79</v>
      </c>
      <c r="K70" s="7">
        <v>61.79</v>
      </c>
      <c r="M70" s="7">
        <v>0</v>
      </c>
      <c r="N70" s="7">
        <v>122.55455000000001</v>
      </c>
      <c r="O70" s="7">
        <v>122.55455000000001</v>
      </c>
      <c r="Q70" s="25">
        <v>0</v>
      </c>
      <c r="R70" s="25">
        <v>2036.23</v>
      </c>
      <c r="S70" s="25">
        <v>2036.23</v>
      </c>
    </row>
    <row r="71" spans="1:19" x14ac:dyDescent="0.2">
      <c r="A71" s="27">
        <v>51</v>
      </c>
      <c r="B71" s="6" t="s">
        <v>58</v>
      </c>
      <c r="C71" s="6">
        <v>0</v>
      </c>
      <c r="D71" s="6">
        <v>0</v>
      </c>
      <c r="E71" s="6">
        <v>32</v>
      </c>
      <c r="F71" s="29">
        <f t="shared" si="2"/>
        <v>32</v>
      </c>
      <c r="H71" s="7">
        <v>0</v>
      </c>
      <c r="I71" s="7">
        <v>0</v>
      </c>
      <c r="J71" s="7">
        <v>58.32</v>
      </c>
      <c r="K71" s="7">
        <v>58.32</v>
      </c>
      <c r="M71" s="7">
        <v>0</v>
      </c>
      <c r="N71" s="7">
        <v>152.83332999999999</v>
      </c>
      <c r="O71" s="7">
        <v>152.83332999999999</v>
      </c>
      <c r="Q71" s="25">
        <v>0</v>
      </c>
      <c r="R71" s="25">
        <v>2726.76</v>
      </c>
      <c r="S71" s="25">
        <v>2726.76</v>
      </c>
    </row>
    <row r="72" spans="1:19" x14ac:dyDescent="0.2">
      <c r="A72" s="27">
        <v>52</v>
      </c>
      <c r="B72" s="6" t="s">
        <v>59</v>
      </c>
      <c r="C72" s="6">
        <v>1</v>
      </c>
      <c r="D72" s="6">
        <v>0</v>
      </c>
      <c r="E72" s="6">
        <v>57</v>
      </c>
      <c r="F72" s="29">
        <f t="shared" si="2"/>
        <v>58</v>
      </c>
      <c r="H72" s="7">
        <v>47</v>
      </c>
      <c r="I72" s="7">
        <v>0</v>
      </c>
      <c r="J72" s="7">
        <v>62.73</v>
      </c>
      <c r="K72" s="7">
        <v>62.38</v>
      </c>
      <c r="M72" s="7">
        <v>0</v>
      </c>
      <c r="N72" s="7">
        <v>184.38845999999998</v>
      </c>
      <c r="O72" s="7">
        <v>182.74444</v>
      </c>
      <c r="Q72" s="25">
        <v>0</v>
      </c>
      <c r="R72" s="25">
        <v>2881.14</v>
      </c>
      <c r="S72" s="25">
        <v>2884.75</v>
      </c>
    </row>
    <row r="73" spans="1:19" x14ac:dyDescent="0.2">
      <c r="A73" s="27">
        <v>53</v>
      </c>
      <c r="B73" s="6" t="s">
        <v>60</v>
      </c>
      <c r="C73" s="6">
        <v>0</v>
      </c>
      <c r="D73" s="6">
        <v>0</v>
      </c>
      <c r="E73" s="6">
        <v>30</v>
      </c>
      <c r="F73" s="29">
        <f t="shared" si="2"/>
        <v>30</v>
      </c>
      <c r="H73" s="7">
        <v>0</v>
      </c>
      <c r="I73" s="7">
        <v>0</v>
      </c>
      <c r="J73" s="7">
        <v>62.41</v>
      </c>
      <c r="K73" s="7">
        <v>62.41</v>
      </c>
      <c r="M73" s="7">
        <v>0</v>
      </c>
      <c r="N73" s="7">
        <v>138.72273000000001</v>
      </c>
      <c r="O73" s="7">
        <v>138.72273000000001</v>
      </c>
      <c r="Q73" s="25">
        <v>0</v>
      </c>
      <c r="R73" s="25">
        <v>2278.61</v>
      </c>
      <c r="S73" s="25">
        <v>2278.61</v>
      </c>
    </row>
    <row r="74" spans="1:19" x14ac:dyDescent="0.2">
      <c r="A74" s="27">
        <v>54</v>
      </c>
      <c r="B74" s="6" t="s">
        <v>61</v>
      </c>
      <c r="C74" s="6">
        <v>0</v>
      </c>
      <c r="D74" s="6">
        <v>0</v>
      </c>
      <c r="E74" s="6">
        <v>1</v>
      </c>
      <c r="F74" s="29">
        <f t="shared" si="2"/>
        <v>1</v>
      </c>
      <c r="H74" s="7">
        <v>0</v>
      </c>
      <c r="I74" s="7">
        <v>0</v>
      </c>
      <c r="J74" s="7">
        <v>64</v>
      </c>
      <c r="K74" s="7">
        <v>64</v>
      </c>
      <c r="M74" s="7">
        <v>0</v>
      </c>
      <c r="N74" s="7">
        <v>0</v>
      </c>
      <c r="O74" s="7">
        <v>0</v>
      </c>
      <c r="Q74" s="25">
        <v>0</v>
      </c>
      <c r="R74" s="25">
        <v>0</v>
      </c>
      <c r="S74" s="25">
        <v>0</v>
      </c>
    </row>
    <row r="75" spans="1:19" x14ac:dyDescent="0.2">
      <c r="A75" s="27">
        <v>55</v>
      </c>
      <c r="B75" s="6" t="s">
        <v>62</v>
      </c>
      <c r="C75" s="6">
        <v>0</v>
      </c>
      <c r="D75" s="6">
        <v>0</v>
      </c>
      <c r="E75" s="6">
        <v>45</v>
      </c>
      <c r="F75" s="29">
        <f t="shared" si="2"/>
        <v>45</v>
      </c>
      <c r="H75" s="7">
        <v>0</v>
      </c>
      <c r="I75" s="7">
        <v>0</v>
      </c>
      <c r="J75" s="7">
        <v>58.66</v>
      </c>
      <c r="K75" s="7">
        <v>58.66</v>
      </c>
      <c r="M75" s="7">
        <v>0</v>
      </c>
      <c r="N75" s="7">
        <v>108.09091000000001</v>
      </c>
      <c r="O75" s="7">
        <v>108.09091000000001</v>
      </c>
      <c r="Q75" s="25">
        <v>0</v>
      </c>
      <c r="R75" s="25">
        <v>1715.77</v>
      </c>
      <c r="S75" s="25">
        <v>1715.77</v>
      </c>
    </row>
    <row r="76" spans="1:19" x14ac:dyDescent="0.2">
      <c r="A76" s="27">
        <v>56</v>
      </c>
      <c r="B76" s="6" t="s">
        <v>80</v>
      </c>
      <c r="C76" s="6">
        <v>0</v>
      </c>
      <c r="D76" s="6">
        <v>0</v>
      </c>
      <c r="E76" s="6">
        <v>0</v>
      </c>
      <c r="F76" s="29">
        <f t="shared" si="2"/>
        <v>0</v>
      </c>
      <c r="H76" s="7">
        <v>0</v>
      </c>
      <c r="I76" s="7">
        <v>0</v>
      </c>
      <c r="J76" s="7">
        <v>0</v>
      </c>
      <c r="K76" s="7">
        <v>0</v>
      </c>
      <c r="M76" s="7">
        <v>0</v>
      </c>
      <c r="N76" s="7">
        <v>0</v>
      </c>
      <c r="O76" s="7">
        <v>0</v>
      </c>
      <c r="Q76" s="25">
        <v>0</v>
      </c>
      <c r="R76" s="25">
        <v>0</v>
      </c>
      <c r="S76" s="25">
        <v>0</v>
      </c>
    </row>
    <row r="77" spans="1:19" x14ac:dyDescent="0.2">
      <c r="A77" s="27">
        <v>57</v>
      </c>
      <c r="B77" s="6" t="s">
        <v>63</v>
      </c>
      <c r="C77" s="6">
        <v>4</v>
      </c>
      <c r="D77" s="6">
        <v>0</v>
      </c>
      <c r="E77" s="6">
        <v>41</v>
      </c>
      <c r="F77" s="29">
        <f t="shared" si="2"/>
        <v>45</v>
      </c>
      <c r="H77" s="7">
        <v>74.75</v>
      </c>
      <c r="I77" s="7">
        <v>0</v>
      </c>
      <c r="J77" s="7">
        <v>57.18</v>
      </c>
      <c r="K77" s="7">
        <v>58.78</v>
      </c>
      <c r="M77" s="7">
        <v>252.39103</v>
      </c>
      <c r="N77" s="7">
        <v>100.5</v>
      </c>
      <c r="O77" s="7">
        <v>151.13033999999999</v>
      </c>
      <c r="Q77" s="25">
        <v>3492.42</v>
      </c>
      <c r="R77" s="25">
        <v>1874.25</v>
      </c>
      <c r="S77" s="25">
        <v>2413.64</v>
      </c>
    </row>
    <row r="78" spans="1:19" x14ac:dyDescent="0.2">
      <c r="A78" s="27">
        <v>58</v>
      </c>
      <c r="B78" s="6" t="s">
        <v>64</v>
      </c>
      <c r="C78" s="6">
        <v>0</v>
      </c>
      <c r="D78" s="6">
        <v>0</v>
      </c>
      <c r="E78" s="6">
        <v>9</v>
      </c>
      <c r="F78" s="29">
        <f t="shared" si="2"/>
        <v>9</v>
      </c>
      <c r="H78" s="7">
        <v>0</v>
      </c>
      <c r="I78" s="7">
        <v>0</v>
      </c>
      <c r="J78" s="7">
        <v>72.75</v>
      </c>
      <c r="K78" s="7">
        <v>72.75</v>
      </c>
      <c r="M78" s="7">
        <v>0</v>
      </c>
      <c r="N78" s="7">
        <v>0</v>
      </c>
      <c r="O78" s="7">
        <v>0</v>
      </c>
      <c r="Q78" s="25">
        <v>0</v>
      </c>
      <c r="R78" s="25">
        <v>0</v>
      </c>
      <c r="S78" s="25">
        <v>0</v>
      </c>
    </row>
    <row r="79" spans="1:19" x14ac:dyDescent="0.2">
      <c r="A79" s="27">
        <v>59</v>
      </c>
      <c r="B79" s="6" t="s">
        <v>65</v>
      </c>
      <c r="C79" s="6">
        <v>0</v>
      </c>
      <c r="D79" s="6">
        <v>4</v>
      </c>
      <c r="E79" s="6">
        <v>29</v>
      </c>
      <c r="F79" s="29">
        <f t="shared" si="2"/>
        <v>33</v>
      </c>
      <c r="H79" s="7">
        <v>0</v>
      </c>
      <c r="I79" s="7">
        <v>76.25</v>
      </c>
      <c r="J79" s="7">
        <v>65.150000000000006</v>
      </c>
      <c r="K79" s="7">
        <v>66.58</v>
      </c>
      <c r="M79" s="7">
        <v>0</v>
      </c>
      <c r="N79" s="7">
        <v>157.35463000000001</v>
      </c>
      <c r="O79" s="7">
        <v>157.35463000000001</v>
      </c>
      <c r="Q79" s="25">
        <v>0</v>
      </c>
      <c r="R79" s="25">
        <v>2359.04</v>
      </c>
      <c r="S79" s="25">
        <v>2359.04</v>
      </c>
    </row>
    <row r="80" spans="1:19" x14ac:dyDescent="0.2">
      <c r="A80" s="27">
        <v>60</v>
      </c>
      <c r="B80" s="6" t="s">
        <v>66</v>
      </c>
      <c r="C80" s="6">
        <v>1</v>
      </c>
      <c r="D80" s="6">
        <v>0</v>
      </c>
      <c r="E80" s="6">
        <v>110</v>
      </c>
      <c r="F80" s="29">
        <f t="shared" si="2"/>
        <v>111</v>
      </c>
      <c r="H80" s="7">
        <v>109</v>
      </c>
      <c r="I80" s="7">
        <v>0</v>
      </c>
      <c r="J80" s="7">
        <v>73.73</v>
      </c>
      <c r="K80" s="7">
        <v>74.08</v>
      </c>
      <c r="M80" s="7">
        <v>0</v>
      </c>
      <c r="N80" s="7">
        <v>295.37959999999998</v>
      </c>
      <c r="O80" s="7">
        <v>297.60645</v>
      </c>
      <c r="Q80" s="25">
        <v>0</v>
      </c>
      <c r="R80" s="25">
        <v>3621.43</v>
      </c>
      <c r="S80" s="25">
        <v>3617.87</v>
      </c>
    </row>
    <row r="81" spans="1:19" x14ac:dyDescent="0.2">
      <c r="A81" s="27">
        <v>61</v>
      </c>
      <c r="B81" s="6" t="s">
        <v>67</v>
      </c>
      <c r="C81" s="6">
        <v>0</v>
      </c>
      <c r="D81" s="6">
        <v>0</v>
      </c>
      <c r="E81" s="6">
        <v>38</v>
      </c>
      <c r="F81" s="29">
        <f t="shared" si="2"/>
        <v>38</v>
      </c>
      <c r="H81" s="7">
        <v>0</v>
      </c>
      <c r="I81" s="7">
        <v>0</v>
      </c>
      <c r="J81" s="7">
        <v>63.03</v>
      </c>
      <c r="K81" s="7">
        <v>63.03</v>
      </c>
      <c r="M81" s="7">
        <v>0</v>
      </c>
      <c r="N81" s="7">
        <v>208.64769000000001</v>
      </c>
      <c r="O81" s="7">
        <v>208.64769000000001</v>
      </c>
      <c r="Q81" s="25">
        <v>0</v>
      </c>
      <c r="R81" s="25">
        <v>3465.81</v>
      </c>
      <c r="S81" s="25">
        <v>3465.81</v>
      </c>
    </row>
    <row r="82" spans="1:19" x14ac:dyDescent="0.2">
      <c r="A82" s="27">
        <v>62</v>
      </c>
      <c r="B82" s="23" t="s">
        <v>68</v>
      </c>
      <c r="C82" s="6">
        <v>0</v>
      </c>
      <c r="D82" s="6">
        <v>0</v>
      </c>
      <c r="E82" s="6">
        <v>33</v>
      </c>
      <c r="F82" s="29">
        <f t="shared" si="2"/>
        <v>33</v>
      </c>
      <c r="H82" s="7">
        <v>0</v>
      </c>
      <c r="I82" s="7">
        <v>0</v>
      </c>
      <c r="J82" s="7">
        <v>74</v>
      </c>
      <c r="K82" s="7">
        <v>74</v>
      </c>
      <c r="M82" s="7">
        <v>0</v>
      </c>
      <c r="N82" s="7">
        <v>265.24290000000002</v>
      </c>
      <c r="O82" s="7">
        <v>265.24290000000002</v>
      </c>
      <c r="Q82" s="25">
        <v>0</v>
      </c>
      <c r="R82" s="25">
        <v>3659.39</v>
      </c>
      <c r="S82" s="25">
        <v>3659.39</v>
      </c>
    </row>
    <row r="83" spans="1:19" x14ac:dyDescent="0.2">
      <c r="A83" s="27">
        <v>63</v>
      </c>
      <c r="B83" s="1" t="s">
        <v>69</v>
      </c>
      <c r="C83" s="6">
        <v>1</v>
      </c>
      <c r="D83" s="6">
        <v>0</v>
      </c>
      <c r="E83" s="6">
        <v>49</v>
      </c>
      <c r="F83" s="29">
        <f t="shared" si="2"/>
        <v>50</v>
      </c>
      <c r="H83" s="7">
        <v>80</v>
      </c>
      <c r="I83" s="7">
        <v>0</v>
      </c>
      <c r="J83" s="7">
        <v>78.86</v>
      </c>
      <c r="K83" s="7">
        <v>78.89</v>
      </c>
      <c r="M83" s="7">
        <v>0</v>
      </c>
      <c r="N83" s="7">
        <v>333.68131</v>
      </c>
      <c r="O83" s="7">
        <v>336.09974</v>
      </c>
      <c r="Q83" s="25">
        <v>0</v>
      </c>
      <c r="R83" s="25">
        <v>4178.46</v>
      </c>
      <c r="S83" s="25">
        <v>4208.5</v>
      </c>
    </row>
    <row r="84" spans="1:19" x14ac:dyDescent="0.2">
      <c r="A84" s="27">
        <v>64</v>
      </c>
      <c r="B84" s="1" t="s">
        <v>70</v>
      </c>
      <c r="C84" s="6">
        <v>0</v>
      </c>
      <c r="D84" s="6">
        <v>0</v>
      </c>
      <c r="E84" s="6">
        <v>67</v>
      </c>
      <c r="F84" s="29">
        <f t="shared" si="2"/>
        <v>67</v>
      </c>
      <c r="H84" s="7">
        <v>0</v>
      </c>
      <c r="I84" s="7">
        <v>0</v>
      </c>
      <c r="J84" s="7">
        <v>74.02</v>
      </c>
      <c r="K84" s="7">
        <v>74.02</v>
      </c>
      <c r="M84" s="7">
        <v>0</v>
      </c>
      <c r="N84" s="7">
        <v>282.85491999999999</v>
      </c>
      <c r="O84" s="7">
        <v>282.85491999999999</v>
      </c>
      <c r="Q84" s="25">
        <v>0</v>
      </c>
      <c r="R84" s="25">
        <v>3988.99</v>
      </c>
      <c r="S84" s="25">
        <v>3988.99</v>
      </c>
    </row>
    <row r="85" spans="1:19" x14ac:dyDescent="0.2">
      <c r="A85" s="27">
        <v>65</v>
      </c>
      <c r="B85" s="1" t="s">
        <v>71</v>
      </c>
      <c r="C85" s="6">
        <v>8</v>
      </c>
      <c r="D85" s="6">
        <v>0</v>
      </c>
      <c r="E85" s="6">
        <v>45</v>
      </c>
      <c r="F85" s="29">
        <f t="shared" ref="F85:F93" si="3">SUM(C85:E85)</f>
        <v>53</v>
      </c>
      <c r="H85" s="7">
        <v>62.13</v>
      </c>
      <c r="I85" s="7">
        <v>0</v>
      </c>
      <c r="J85" s="7">
        <v>67.39</v>
      </c>
      <c r="K85" s="7">
        <v>66.53</v>
      </c>
      <c r="M85" s="7">
        <v>286</v>
      </c>
      <c r="N85" s="7">
        <v>243.24605</v>
      </c>
      <c r="O85" s="7">
        <v>255.91389000000001</v>
      </c>
      <c r="Q85" s="25">
        <v>4527.78</v>
      </c>
      <c r="R85" s="25">
        <v>3915.95</v>
      </c>
      <c r="S85" s="25">
        <v>4097.2299999999996</v>
      </c>
    </row>
    <row r="86" spans="1:19" x14ac:dyDescent="0.2">
      <c r="A86" s="27">
        <v>66</v>
      </c>
      <c r="B86" s="1" t="s">
        <v>72</v>
      </c>
      <c r="C86" s="6">
        <v>5</v>
      </c>
      <c r="D86" s="6">
        <v>1</v>
      </c>
      <c r="E86" s="6">
        <v>34</v>
      </c>
      <c r="F86" s="29">
        <f t="shared" si="3"/>
        <v>40</v>
      </c>
      <c r="H86" s="7">
        <v>110</v>
      </c>
      <c r="I86" s="7">
        <v>56</v>
      </c>
      <c r="J86" s="7">
        <v>77.84</v>
      </c>
      <c r="K86" s="7">
        <v>81.5</v>
      </c>
      <c r="M86" s="7">
        <v>684.32</v>
      </c>
      <c r="N86" s="7">
        <v>373.17926</v>
      </c>
      <c r="O86" s="7">
        <v>415.22530999999998</v>
      </c>
      <c r="Q86" s="25">
        <v>6114.69</v>
      </c>
      <c r="R86" s="25">
        <v>4833.37</v>
      </c>
      <c r="S86" s="25">
        <v>5006.5200000000004</v>
      </c>
    </row>
    <row r="87" spans="1:19" x14ac:dyDescent="0.2">
      <c r="A87" s="27">
        <v>67</v>
      </c>
      <c r="B87" s="1" t="s">
        <v>73</v>
      </c>
      <c r="C87" s="6">
        <v>0</v>
      </c>
      <c r="D87" s="6">
        <v>0</v>
      </c>
      <c r="E87" s="6">
        <v>9</v>
      </c>
      <c r="F87" s="29">
        <f t="shared" si="3"/>
        <v>9</v>
      </c>
      <c r="H87" s="7">
        <v>0</v>
      </c>
      <c r="I87" s="7">
        <v>0</v>
      </c>
      <c r="J87" s="7">
        <v>107</v>
      </c>
      <c r="K87" s="7">
        <v>107</v>
      </c>
      <c r="M87" s="7">
        <v>0</v>
      </c>
      <c r="N87" s="7">
        <v>554.48278000000005</v>
      </c>
      <c r="O87" s="7">
        <v>554.48278000000005</v>
      </c>
      <c r="Q87" s="25">
        <v>0</v>
      </c>
      <c r="R87" s="25">
        <v>5256.05</v>
      </c>
      <c r="S87" s="25">
        <v>5256.05</v>
      </c>
    </row>
    <row r="88" spans="1:19" x14ac:dyDescent="0.2">
      <c r="A88" s="27">
        <v>68</v>
      </c>
      <c r="B88" s="1" t="s">
        <v>74</v>
      </c>
      <c r="C88" s="6">
        <v>30</v>
      </c>
      <c r="D88" s="6">
        <v>24</v>
      </c>
      <c r="E88" s="6">
        <v>63</v>
      </c>
      <c r="F88" s="29">
        <f t="shared" si="3"/>
        <v>117</v>
      </c>
      <c r="H88" s="7">
        <v>62.57</v>
      </c>
      <c r="I88" s="7">
        <v>57.5</v>
      </c>
      <c r="J88" s="7">
        <v>74.739999999999995</v>
      </c>
      <c r="K88" s="7">
        <v>68.25</v>
      </c>
      <c r="M88" s="7">
        <v>419.39285999999998</v>
      </c>
      <c r="N88" s="7">
        <v>364.71483000000001</v>
      </c>
      <c r="O88" s="7">
        <v>382.51697999999999</v>
      </c>
      <c r="Q88" s="25">
        <v>6688.64</v>
      </c>
      <c r="R88" s="25">
        <v>4905.8999999999996</v>
      </c>
      <c r="S88" s="25">
        <v>5486.33</v>
      </c>
    </row>
    <row r="89" spans="1:19" x14ac:dyDescent="0.2">
      <c r="A89" s="27">
        <v>69</v>
      </c>
      <c r="B89" s="1" t="s">
        <v>75</v>
      </c>
      <c r="C89" s="6">
        <v>11</v>
      </c>
      <c r="D89" s="6">
        <v>1</v>
      </c>
      <c r="E89" s="6">
        <v>32</v>
      </c>
      <c r="F89" s="29">
        <f t="shared" si="3"/>
        <v>44</v>
      </c>
      <c r="H89" s="7">
        <v>76</v>
      </c>
      <c r="I89" s="7">
        <v>67</v>
      </c>
      <c r="J89" s="7">
        <v>94.3</v>
      </c>
      <c r="K89" s="7">
        <v>88.77</v>
      </c>
      <c r="M89" s="7">
        <v>447.5</v>
      </c>
      <c r="N89" s="7">
        <v>589.90517</v>
      </c>
      <c r="O89" s="7">
        <v>545.40355</v>
      </c>
      <c r="Q89" s="25">
        <v>5996.45</v>
      </c>
      <c r="R89" s="25">
        <v>5808.51</v>
      </c>
      <c r="S89" s="25">
        <v>5867.24</v>
      </c>
    </row>
    <row r="90" spans="1:19" x14ac:dyDescent="0.2">
      <c r="A90" s="27">
        <v>70</v>
      </c>
      <c r="B90" s="1" t="s">
        <v>76</v>
      </c>
      <c r="C90" s="6">
        <v>8</v>
      </c>
      <c r="D90" s="6">
        <v>0</v>
      </c>
      <c r="E90" s="6">
        <v>70</v>
      </c>
      <c r="F90" s="29">
        <f t="shared" si="3"/>
        <v>78</v>
      </c>
      <c r="H90" s="7">
        <v>89.71</v>
      </c>
      <c r="I90" s="7">
        <v>0</v>
      </c>
      <c r="J90" s="7">
        <v>55.64</v>
      </c>
      <c r="K90" s="7">
        <v>59.15</v>
      </c>
      <c r="M90" s="7">
        <v>538.28585999999996</v>
      </c>
      <c r="N90" s="7">
        <v>115.16368</v>
      </c>
      <c r="O90" s="7">
        <v>163.71868000000001</v>
      </c>
      <c r="Q90" s="25">
        <v>3831.1</v>
      </c>
      <c r="R90" s="25">
        <v>2043.02</v>
      </c>
      <c r="S90" s="25">
        <v>2248.21</v>
      </c>
    </row>
    <row r="91" spans="1:19" x14ac:dyDescent="0.2">
      <c r="A91" s="27">
        <v>71</v>
      </c>
      <c r="B91" s="1" t="s">
        <v>77</v>
      </c>
      <c r="C91" s="6">
        <v>4</v>
      </c>
      <c r="D91" s="6">
        <v>2</v>
      </c>
      <c r="E91" s="6">
        <v>27</v>
      </c>
      <c r="F91" s="29">
        <f t="shared" si="3"/>
        <v>33</v>
      </c>
      <c r="H91" s="7">
        <v>65.5</v>
      </c>
      <c r="I91" s="7">
        <v>77</v>
      </c>
      <c r="J91" s="7">
        <v>75.5</v>
      </c>
      <c r="K91" s="7">
        <v>74.27</v>
      </c>
      <c r="M91" s="7">
        <v>226.25</v>
      </c>
      <c r="N91" s="7">
        <v>315.94049999999999</v>
      </c>
      <c r="O91" s="7">
        <v>298.85659999999996</v>
      </c>
      <c r="Q91" s="25">
        <v>3465.66</v>
      </c>
      <c r="R91" s="25">
        <v>4194.51</v>
      </c>
      <c r="S91" s="25">
        <v>4055.68</v>
      </c>
    </row>
    <row r="92" spans="1:19" x14ac:dyDescent="0.2">
      <c r="A92" s="27">
        <v>72</v>
      </c>
      <c r="B92" s="1" t="s">
        <v>78</v>
      </c>
      <c r="C92" s="6">
        <v>1</v>
      </c>
      <c r="D92" s="6">
        <v>0</v>
      </c>
      <c r="E92" s="6">
        <v>58</v>
      </c>
      <c r="F92" s="29">
        <f t="shared" si="3"/>
        <v>59</v>
      </c>
      <c r="H92" s="7">
        <v>42</v>
      </c>
      <c r="I92" s="7">
        <v>0</v>
      </c>
      <c r="J92" s="7">
        <v>69</v>
      </c>
      <c r="K92" s="7">
        <v>68.53</v>
      </c>
      <c r="M92" s="7">
        <v>0</v>
      </c>
      <c r="N92" s="7">
        <v>218.2</v>
      </c>
      <c r="O92" s="7">
        <v>215.76923000000002</v>
      </c>
      <c r="Q92" s="25">
        <v>0</v>
      </c>
      <c r="R92" s="25">
        <v>3183.64</v>
      </c>
      <c r="S92" s="25">
        <v>3203.13</v>
      </c>
    </row>
    <row r="93" spans="1:19" x14ac:dyDescent="0.2">
      <c r="A93" s="28">
        <v>73</v>
      </c>
      <c r="B93" s="16" t="s">
        <v>79</v>
      </c>
      <c r="C93" s="18">
        <v>3</v>
      </c>
      <c r="D93" s="18">
        <v>1</v>
      </c>
      <c r="E93" s="18">
        <v>59</v>
      </c>
      <c r="F93" s="24">
        <f t="shared" si="3"/>
        <v>63</v>
      </c>
      <c r="G93" s="16"/>
      <c r="H93" s="17">
        <v>63.33</v>
      </c>
      <c r="I93" s="17">
        <v>85</v>
      </c>
      <c r="J93" s="17">
        <v>69.63</v>
      </c>
      <c r="K93" s="17">
        <v>69.569999999999993</v>
      </c>
      <c r="L93" s="17"/>
      <c r="M93" s="17">
        <v>220</v>
      </c>
      <c r="N93" s="17">
        <v>176.54931999999999</v>
      </c>
      <c r="O93" s="17">
        <v>180.38320000000002</v>
      </c>
      <c r="P93" s="17"/>
      <c r="Q93" s="26">
        <v>3492.06</v>
      </c>
      <c r="R93" s="26">
        <v>2672.61</v>
      </c>
      <c r="S93" s="26">
        <v>2744.91</v>
      </c>
    </row>
    <row r="95" spans="1:19" x14ac:dyDescent="0.2">
      <c r="B95" s="21" t="s">
        <v>95</v>
      </c>
    </row>
  </sheetData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4t24_acum</vt:lpstr>
      <vt:lpstr>3t24_acum</vt:lpstr>
      <vt:lpstr>2t24_acum</vt:lpstr>
      <vt:lpstr>1t24_acum</vt:lpstr>
    </vt:vector>
  </TitlesOfParts>
  <Company>Departament de Medi Ambient i Habitatge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CHMACAF</dc:creator>
  <cp:lastModifiedBy>Casals Font, Maria Lluïsa</cp:lastModifiedBy>
  <dcterms:created xsi:type="dcterms:W3CDTF">2015-05-19T08:29:00Z</dcterms:created>
  <dcterms:modified xsi:type="dcterms:W3CDTF">2025-02-13T15:39:24Z</dcterms:modified>
</cp:coreProperties>
</file>